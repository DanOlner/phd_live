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6" i="1" l="1"/>
  <c r="I36" i="1" s="1"/>
  <c r="E36" i="1"/>
  <c r="D36" i="1"/>
  <c r="F36" i="1" s="1"/>
  <c r="H36" i="1" s="1"/>
  <c r="E44" i="1"/>
  <c r="D44" i="1"/>
  <c r="B19" i="1"/>
  <c r="B20" i="1" s="1"/>
  <c r="C19" i="1"/>
  <c r="C20" i="1" s="1"/>
  <c r="C17" i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B17" i="1"/>
  <c r="D17" i="1" s="1"/>
  <c r="D18" i="1"/>
  <c r="E18" i="1"/>
  <c r="F44" i="1" l="1"/>
  <c r="H44" i="1" s="1"/>
  <c r="J44" i="1" s="1"/>
  <c r="B45" i="1" s="1"/>
  <c r="G44" i="1"/>
  <c r="I44" i="1" s="1"/>
  <c r="K44" i="1" s="1"/>
  <c r="C45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D20" i="1"/>
  <c r="E20" i="1"/>
  <c r="B16" i="1"/>
  <c r="C21" i="1"/>
  <c r="C22" i="1" s="1"/>
  <c r="D19" i="1"/>
  <c r="E19" i="1"/>
  <c r="E17" i="1"/>
  <c r="G17" i="1" s="1"/>
  <c r="I17" i="1" s="1"/>
  <c r="F18" i="1"/>
  <c r="H18" i="1" s="1"/>
  <c r="G18" i="1"/>
  <c r="I18" i="1" s="1"/>
  <c r="D45" i="1" l="1"/>
  <c r="E45" i="1"/>
  <c r="G45" i="1" s="1"/>
  <c r="I45" i="1" s="1"/>
  <c r="K45" i="1" s="1"/>
  <c r="C46" i="1" s="1"/>
  <c r="F17" i="1"/>
  <c r="H17" i="1" s="1"/>
  <c r="E21" i="1"/>
  <c r="F20" i="1"/>
  <c r="H20" i="1" s="1"/>
  <c r="G20" i="1"/>
  <c r="I20" i="1" s="1"/>
  <c r="D21" i="1"/>
  <c r="B15" i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D16" i="1"/>
  <c r="E16" i="1"/>
  <c r="G19" i="1"/>
  <c r="I19" i="1" s="1"/>
  <c r="F19" i="1"/>
  <c r="H19" i="1" s="1"/>
  <c r="D22" i="1"/>
  <c r="E22" i="1"/>
  <c r="C23" i="1"/>
  <c r="D15" i="1"/>
  <c r="F45" i="1" l="1"/>
  <c r="H45" i="1" s="1"/>
  <c r="J45" i="1" s="1"/>
  <c r="B46" i="1" s="1"/>
  <c r="D46" i="1" s="1"/>
  <c r="G21" i="1"/>
  <c r="I21" i="1" s="1"/>
  <c r="G22" i="1"/>
  <c r="I22" i="1" s="1"/>
  <c r="F21" i="1"/>
  <c r="H21" i="1" s="1"/>
  <c r="G16" i="1"/>
  <c r="I16" i="1" s="1"/>
  <c r="E15" i="1"/>
  <c r="F15" i="1" s="1"/>
  <c r="H15" i="1" s="1"/>
  <c r="F16" i="1"/>
  <c r="H16" i="1" s="1"/>
  <c r="C24" i="1"/>
  <c r="D23" i="1"/>
  <c r="E23" i="1"/>
  <c r="F22" i="1"/>
  <c r="H22" i="1" s="1"/>
  <c r="D14" i="1"/>
  <c r="E14" i="1"/>
  <c r="G15" i="1"/>
  <c r="I15" i="1" s="1"/>
  <c r="E46" i="1" l="1"/>
  <c r="G46" i="1" s="1"/>
  <c r="I46" i="1" s="1"/>
  <c r="K46" i="1" s="1"/>
  <c r="C47" i="1" s="1"/>
  <c r="G23" i="1"/>
  <c r="I23" i="1" s="1"/>
  <c r="F23" i="1"/>
  <c r="H23" i="1" s="1"/>
  <c r="C25" i="1"/>
  <c r="E24" i="1"/>
  <c r="D24" i="1"/>
  <c r="G14" i="1"/>
  <c r="I14" i="1" s="1"/>
  <c r="F14" i="1"/>
  <c r="H14" i="1" s="1"/>
  <c r="E13" i="1"/>
  <c r="D13" i="1"/>
  <c r="F46" i="1" l="1"/>
  <c r="H46" i="1" s="1"/>
  <c r="J46" i="1" s="1"/>
  <c r="B47" i="1" s="1"/>
  <c r="E47" i="1" s="1"/>
  <c r="D47" i="1"/>
  <c r="F47" i="1" s="1"/>
  <c r="H47" i="1" s="1"/>
  <c r="J47" i="1" s="1"/>
  <c r="B48" i="1" s="1"/>
  <c r="G24" i="1"/>
  <c r="I24" i="1" s="1"/>
  <c r="E25" i="1"/>
  <c r="C26" i="1"/>
  <c r="D25" i="1"/>
  <c r="F24" i="1"/>
  <c r="H24" i="1" s="1"/>
  <c r="G13" i="1"/>
  <c r="I13" i="1" s="1"/>
  <c r="D12" i="1"/>
  <c r="E12" i="1"/>
  <c r="F13" i="1"/>
  <c r="H13" i="1" s="1"/>
  <c r="G47" i="1" l="1"/>
  <c r="I47" i="1" s="1"/>
  <c r="K47" i="1" s="1"/>
  <c r="C48" i="1" s="1"/>
  <c r="E48" i="1"/>
  <c r="D48" i="1"/>
  <c r="G25" i="1"/>
  <c r="I25" i="1" s="1"/>
  <c r="D26" i="1"/>
  <c r="E26" i="1"/>
  <c r="C27" i="1"/>
  <c r="F25" i="1"/>
  <c r="H25" i="1" s="1"/>
  <c r="G12" i="1"/>
  <c r="I12" i="1" s="1"/>
  <c r="E11" i="1"/>
  <c r="D11" i="1"/>
  <c r="F12" i="1"/>
  <c r="H12" i="1" s="1"/>
  <c r="G48" i="1" l="1"/>
  <c r="I48" i="1" s="1"/>
  <c r="K48" i="1" s="1"/>
  <c r="C49" i="1" s="1"/>
  <c r="F48" i="1"/>
  <c r="H48" i="1" s="1"/>
  <c r="J48" i="1" s="1"/>
  <c r="B49" i="1" s="1"/>
  <c r="E49" i="1" s="1"/>
  <c r="D49" i="1"/>
  <c r="G26" i="1"/>
  <c r="I26" i="1" s="1"/>
  <c r="C28" i="1"/>
  <c r="D27" i="1"/>
  <c r="E27" i="1"/>
  <c r="F26" i="1"/>
  <c r="H26" i="1" s="1"/>
  <c r="F11" i="1"/>
  <c r="H11" i="1" s="1"/>
  <c r="D10" i="1"/>
  <c r="E10" i="1"/>
  <c r="G11" i="1"/>
  <c r="I11" i="1" s="1"/>
  <c r="G49" i="1" l="1"/>
  <c r="I49" i="1" s="1"/>
  <c r="K49" i="1" s="1"/>
  <c r="C50" i="1" s="1"/>
  <c r="F49" i="1"/>
  <c r="H49" i="1" s="1"/>
  <c r="J49" i="1" s="1"/>
  <c r="B50" i="1" s="1"/>
  <c r="E50" i="1" s="1"/>
  <c r="D50" i="1"/>
  <c r="F10" i="1"/>
  <c r="H10" i="1" s="1"/>
  <c r="G27" i="1"/>
  <c r="I27" i="1" s="1"/>
  <c r="F27" i="1"/>
  <c r="H27" i="1" s="1"/>
  <c r="C29" i="1"/>
  <c r="E28" i="1"/>
  <c r="D28" i="1"/>
  <c r="E9" i="1"/>
  <c r="D9" i="1"/>
  <c r="G10" i="1"/>
  <c r="I10" i="1" s="1"/>
  <c r="F50" i="1" l="1"/>
  <c r="H50" i="1" s="1"/>
  <c r="J50" i="1" s="1"/>
  <c r="B51" i="1" s="1"/>
  <c r="G50" i="1"/>
  <c r="I50" i="1" s="1"/>
  <c r="K50" i="1" s="1"/>
  <c r="C51" i="1" s="1"/>
  <c r="G28" i="1"/>
  <c r="I28" i="1" s="1"/>
  <c r="E29" i="1"/>
  <c r="C30" i="1"/>
  <c r="D29" i="1"/>
  <c r="F28" i="1"/>
  <c r="H28" i="1" s="1"/>
  <c r="G9" i="1"/>
  <c r="I9" i="1" s="1"/>
  <c r="D8" i="1"/>
  <c r="E8" i="1"/>
  <c r="F9" i="1"/>
  <c r="H9" i="1" s="1"/>
  <c r="D51" i="1" l="1"/>
  <c r="E51" i="1"/>
  <c r="F29" i="1"/>
  <c r="H29" i="1" s="1"/>
  <c r="D30" i="1"/>
  <c r="E30" i="1"/>
  <c r="C31" i="1"/>
  <c r="G29" i="1"/>
  <c r="I29" i="1" s="1"/>
  <c r="F8" i="1"/>
  <c r="H8" i="1" s="1"/>
  <c r="E7" i="1"/>
  <c r="D7" i="1"/>
  <c r="G8" i="1"/>
  <c r="I8" i="1" s="1"/>
  <c r="F51" i="1" l="1"/>
  <c r="H51" i="1" s="1"/>
  <c r="J51" i="1" s="1"/>
  <c r="B52" i="1" s="1"/>
  <c r="G51" i="1"/>
  <c r="I51" i="1" s="1"/>
  <c r="K51" i="1" s="1"/>
  <c r="C52" i="1" s="1"/>
  <c r="G30" i="1"/>
  <c r="I30" i="1" s="1"/>
  <c r="F30" i="1"/>
  <c r="H30" i="1" s="1"/>
  <c r="C32" i="1"/>
  <c r="D31" i="1"/>
  <c r="E31" i="1"/>
  <c r="G7" i="1"/>
  <c r="I7" i="1" s="1"/>
  <c r="D6" i="1"/>
  <c r="E6" i="1"/>
  <c r="F7" i="1"/>
  <c r="H7" i="1" s="1"/>
  <c r="E52" i="1" l="1"/>
  <c r="G52" i="1" s="1"/>
  <c r="I52" i="1" s="1"/>
  <c r="K52" i="1" s="1"/>
  <c r="C53" i="1" s="1"/>
  <c r="D52" i="1"/>
  <c r="F52" i="1" s="1"/>
  <c r="H52" i="1" s="1"/>
  <c r="J52" i="1" s="1"/>
  <c r="B53" i="1" s="1"/>
  <c r="G31" i="1"/>
  <c r="I31" i="1" s="1"/>
  <c r="C33" i="1"/>
  <c r="E32" i="1"/>
  <c r="D32" i="1"/>
  <c r="F31" i="1"/>
  <c r="H31" i="1" s="1"/>
  <c r="F6" i="1"/>
  <c r="H6" i="1" s="1"/>
  <c r="E5" i="1"/>
  <c r="D5" i="1"/>
  <c r="G6" i="1"/>
  <c r="I6" i="1" s="1"/>
  <c r="E53" i="1" l="1"/>
  <c r="D53" i="1"/>
  <c r="G32" i="1"/>
  <c r="I32" i="1" s="1"/>
  <c r="C34" i="1"/>
  <c r="D33" i="1"/>
  <c r="E33" i="1"/>
  <c r="F32" i="1"/>
  <c r="H32" i="1" s="1"/>
  <c r="F5" i="1"/>
  <c r="H5" i="1" s="1"/>
  <c r="G5" i="1"/>
  <c r="I5" i="1" s="1"/>
  <c r="F53" i="1" l="1"/>
  <c r="H53" i="1" s="1"/>
  <c r="J53" i="1" s="1"/>
  <c r="B54" i="1" s="1"/>
  <c r="G53" i="1"/>
  <c r="I53" i="1" s="1"/>
  <c r="K53" i="1" s="1"/>
  <c r="C54" i="1" s="1"/>
  <c r="F33" i="1"/>
  <c r="H33" i="1" s="1"/>
  <c r="D34" i="1"/>
  <c r="E34" i="1"/>
  <c r="G33" i="1"/>
  <c r="I33" i="1" s="1"/>
  <c r="E54" i="1" l="1"/>
  <c r="D54" i="1"/>
  <c r="G34" i="1"/>
  <c r="I34" i="1" s="1"/>
  <c r="F34" i="1"/>
  <c r="H34" i="1" s="1"/>
  <c r="F54" i="1" l="1"/>
  <c r="H54" i="1" s="1"/>
  <c r="J54" i="1" s="1"/>
  <c r="B55" i="1" s="1"/>
  <c r="G54" i="1"/>
  <c r="I54" i="1" s="1"/>
  <c r="K54" i="1" s="1"/>
  <c r="C55" i="1" s="1"/>
  <c r="E55" i="1" l="1"/>
  <c r="D55" i="1"/>
  <c r="G55" i="1" l="1"/>
  <c r="I55" i="1" s="1"/>
  <c r="K55" i="1" s="1"/>
  <c r="C56" i="1" s="1"/>
  <c r="F55" i="1"/>
  <c r="H55" i="1" s="1"/>
  <c r="J55" i="1" s="1"/>
  <c r="B56" i="1" s="1"/>
  <c r="D56" i="1" l="1"/>
  <c r="F56" i="1" s="1"/>
  <c r="H56" i="1" s="1"/>
  <c r="J56" i="1" s="1"/>
  <c r="B57" i="1" s="1"/>
  <c r="E56" i="1"/>
  <c r="D57" i="1" l="1"/>
  <c r="F57" i="1" s="1"/>
  <c r="H57" i="1" s="1"/>
  <c r="J57" i="1" s="1"/>
  <c r="B58" i="1" s="1"/>
  <c r="G56" i="1"/>
  <c r="I56" i="1" s="1"/>
  <c r="K56" i="1" s="1"/>
  <c r="C57" i="1" s="1"/>
  <c r="E57" i="1"/>
  <c r="D58" i="1" l="1"/>
  <c r="F58" i="1" s="1"/>
  <c r="H58" i="1" s="1"/>
  <c r="J58" i="1" s="1"/>
  <c r="B59" i="1" s="1"/>
  <c r="G57" i="1"/>
  <c r="I57" i="1" s="1"/>
  <c r="K57" i="1" s="1"/>
  <c r="C58" i="1" s="1"/>
  <c r="E58" i="1"/>
  <c r="D59" i="1" l="1"/>
  <c r="G58" i="1"/>
  <c r="I58" i="1" s="1"/>
  <c r="K58" i="1" s="1"/>
  <c r="C59" i="1" s="1"/>
  <c r="E59" i="1"/>
  <c r="F59" i="1" l="1"/>
  <c r="H59" i="1" s="1"/>
  <c r="J59" i="1" s="1"/>
  <c r="B60" i="1" s="1"/>
  <c r="D60" i="1" s="1"/>
  <c r="G59" i="1"/>
  <c r="I59" i="1" s="1"/>
  <c r="K59" i="1" s="1"/>
  <c r="C60" i="1" s="1"/>
  <c r="E60" i="1" l="1"/>
  <c r="F60" i="1" s="1"/>
  <c r="H60" i="1" s="1"/>
  <c r="J60" i="1" s="1"/>
  <c r="B61" i="1" s="1"/>
  <c r="G60" i="1"/>
  <c r="I60" i="1" s="1"/>
  <c r="K60" i="1" s="1"/>
  <c r="C61" i="1" s="1"/>
  <c r="E61" i="1" l="1"/>
  <c r="D61" i="1"/>
  <c r="F61" i="1" s="1"/>
  <c r="H61" i="1" s="1"/>
  <c r="J61" i="1" s="1"/>
  <c r="B62" i="1" s="1"/>
  <c r="G61" i="1" l="1"/>
  <c r="I61" i="1" s="1"/>
  <c r="K61" i="1" s="1"/>
  <c r="C62" i="1" s="1"/>
  <c r="E62" i="1" s="1"/>
  <c r="D62" i="1" l="1"/>
  <c r="F62" i="1" s="1"/>
  <c r="H62" i="1" s="1"/>
  <c r="J62" i="1" s="1"/>
  <c r="B63" i="1" s="1"/>
  <c r="G62" i="1" l="1"/>
  <c r="I62" i="1" s="1"/>
  <c r="K62" i="1" s="1"/>
  <c r="C63" i="1" s="1"/>
  <c r="E63" i="1" s="1"/>
  <c r="D63" i="1" l="1"/>
  <c r="F63" i="1" s="1"/>
  <c r="H63" i="1" s="1"/>
  <c r="J63" i="1" s="1"/>
  <c r="B64" i="1" s="1"/>
  <c r="G63" i="1" l="1"/>
  <c r="I63" i="1" s="1"/>
  <c r="K63" i="1" s="1"/>
  <c r="C64" i="1" s="1"/>
  <c r="E64" i="1" l="1"/>
  <c r="D64" i="1"/>
  <c r="F64" i="1" s="1"/>
  <c r="H64" i="1" s="1"/>
  <c r="J64" i="1" s="1"/>
  <c r="B65" i="1" s="1"/>
  <c r="G64" i="1" l="1"/>
  <c r="I64" i="1" s="1"/>
  <c r="K64" i="1" s="1"/>
  <c r="C65" i="1" s="1"/>
  <c r="E65" i="1" s="1"/>
  <c r="D65" i="1" l="1"/>
  <c r="F65" i="1" s="1"/>
  <c r="H65" i="1" s="1"/>
  <c r="J65" i="1" s="1"/>
  <c r="B66" i="1" s="1"/>
  <c r="G65" i="1" l="1"/>
  <c r="I65" i="1" s="1"/>
  <c r="K65" i="1" s="1"/>
  <c r="C66" i="1" s="1"/>
  <c r="E66" i="1" s="1"/>
  <c r="D66" i="1" l="1"/>
  <c r="F66" i="1" s="1"/>
  <c r="H66" i="1" s="1"/>
  <c r="J66" i="1" s="1"/>
  <c r="B67" i="1" s="1"/>
  <c r="G66" i="1" l="1"/>
  <c r="I66" i="1" s="1"/>
  <c r="K66" i="1" s="1"/>
  <c r="C67" i="1" s="1"/>
  <c r="E67" i="1" s="1"/>
  <c r="D67" i="1" l="1"/>
  <c r="F67" i="1" s="1"/>
  <c r="H67" i="1" s="1"/>
  <c r="J67" i="1" s="1"/>
  <c r="B68" i="1" s="1"/>
  <c r="G67" i="1" l="1"/>
  <c r="I67" i="1" s="1"/>
  <c r="K67" i="1" s="1"/>
  <c r="C68" i="1" s="1"/>
  <c r="E68" i="1" s="1"/>
  <c r="D68" i="1" l="1"/>
  <c r="F68" i="1" s="1"/>
  <c r="H68" i="1" s="1"/>
  <c r="J68" i="1" s="1"/>
  <c r="B69" i="1" s="1"/>
  <c r="G68" i="1" l="1"/>
  <c r="I68" i="1" s="1"/>
  <c r="K68" i="1" s="1"/>
  <c r="C69" i="1" s="1"/>
  <c r="E69" i="1" s="1"/>
  <c r="D69" i="1" l="1"/>
  <c r="F69" i="1" s="1"/>
  <c r="H69" i="1" s="1"/>
  <c r="J69" i="1" s="1"/>
  <c r="B70" i="1" s="1"/>
  <c r="G69" i="1" l="1"/>
  <c r="I69" i="1" s="1"/>
  <c r="K69" i="1" s="1"/>
  <c r="C70" i="1" s="1"/>
  <c r="E70" i="1" s="1"/>
  <c r="D70" i="1" l="1"/>
  <c r="F70" i="1" s="1"/>
  <c r="H70" i="1" s="1"/>
  <c r="J70" i="1" s="1"/>
  <c r="B71" i="1" s="1"/>
  <c r="G70" i="1" l="1"/>
  <c r="I70" i="1" s="1"/>
  <c r="K70" i="1" s="1"/>
  <c r="C71" i="1" s="1"/>
  <c r="E71" i="1" s="1"/>
  <c r="D71" i="1" l="1"/>
  <c r="F71" i="1" s="1"/>
  <c r="H71" i="1" s="1"/>
  <c r="J71" i="1" s="1"/>
  <c r="B72" i="1" s="1"/>
  <c r="G71" i="1" l="1"/>
  <c r="I71" i="1" s="1"/>
  <c r="K71" i="1" s="1"/>
  <c r="C72" i="1" s="1"/>
  <c r="E72" i="1" s="1"/>
  <c r="D72" i="1" l="1"/>
  <c r="F72" i="1" s="1"/>
  <c r="H72" i="1" s="1"/>
  <c r="J72" i="1" s="1"/>
  <c r="B73" i="1" s="1"/>
  <c r="G72" i="1" l="1"/>
  <c r="I72" i="1" s="1"/>
  <c r="K72" i="1" s="1"/>
  <c r="C73" i="1" s="1"/>
  <c r="E73" i="1" s="1"/>
  <c r="D73" i="1" l="1"/>
  <c r="F73" i="1" s="1"/>
  <c r="H73" i="1" s="1"/>
  <c r="J73" i="1" s="1"/>
  <c r="B74" i="1" s="1"/>
  <c r="G73" i="1" l="1"/>
  <c r="I73" i="1" s="1"/>
  <c r="K73" i="1" s="1"/>
  <c r="C74" i="1" s="1"/>
  <c r="E74" i="1" s="1"/>
  <c r="D74" i="1" l="1"/>
  <c r="F74" i="1" s="1"/>
  <c r="H74" i="1" s="1"/>
  <c r="J74" i="1" s="1"/>
  <c r="B75" i="1" s="1"/>
  <c r="G74" i="1" l="1"/>
  <c r="I74" i="1" s="1"/>
  <c r="K74" i="1" s="1"/>
  <c r="C75" i="1" s="1"/>
  <c r="E75" i="1" s="1"/>
  <c r="D75" i="1" l="1"/>
  <c r="F75" i="1" s="1"/>
  <c r="H75" i="1" s="1"/>
  <c r="J75" i="1" s="1"/>
  <c r="B76" i="1" s="1"/>
  <c r="G75" i="1" l="1"/>
  <c r="I75" i="1" s="1"/>
  <c r="K75" i="1" s="1"/>
  <c r="C76" i="1" s="1"/>
  <c r="E76" i="1" s="1"/>
  <c r="D76" i="1" l="1"/>
  <c r="F76" i="1" s="1"/>
  <c r="H76" i="1" s="1"/>
  <c r="J76" i="1" s="1"/>
  <c r="B77" i="1" s="1"/>
  <c r="G76" i="1" l="1"/>
  <c r="I76" i="1" s="1"/>
  <c r="K76" i="1" s="1"/>
  <c r="C77" i="1" s="1"/>
  <c r="E77" i="1" s="1"/>
  <c r="D77" i="1" l="1"/>
  <c r="F77" i="1" s="1"/>
  <c r="H77" i="1" s="1"/>
  <c r="J77" i="1" s="1"/>
  <c r="B78" i="1" s="1"/>
  <c r="D78" i="1" l="1"/>
  <c r="F78" i="1" s="1"/>
  <c r="H78" i="1" s="1"/>
  <c r="J78" i="1" s="1"/>
  <c r="B79" i="1" s="1"/>
  <c r="D79" i="1" s="1"/>
  <c r="F79" i="1" s="1"/>
  <c r="H79" i="1" s="1"/>
  <c r="J79" i="1" s="1"/>
  <c r="B80" i="1" s="1"/>
  <c r="G77" i="1"/>
  <c r="I77" i="1" s="1"/>
  <c r="K77" i="1" s="1"/>
  <c r="C78" i="1" s="1"/>
  <c r="E78" i="1" s="1"/>
  <c r="G78" i="1" s="1"/>
  <c r="I78" i="1" s="1"/>
  <c r="K78" i="1" s="1"/>
  <c r="C79" i="1" s="1"/>
  <c r="E79" i="1" s="1"/>
  <c r="G79" i="1" l="1"/>
  <c r="I79" i="1" s="1"/>
  <c r="K79" i="1" s="1"/>
  <c r="C80" i="1" s="1"/>
  <c r="E80" i="1" s="1"/>
  <c r="G80" i="1" s="1"/>
  <c r="I80" i="1" s="1"/>
  <c r="K80" i="1" s="1"/>
  <c r="C81" i="1" s="1"/>
  <c r="D80" i="1"/>
  <c r="F80" i="1" l="1"/>
  <c r="H80" i="1" s="1"/>
  <c r="J80" i="1" s="1"/>
  <c r="B81" i="1" s="1"/>
  <c r="D81" i="1" s="1"/>
  <c r="F81" i="1" s="1"/>
  <c r="H81" i="1" s="1"/>
  <c r="J81" i="1" s="1"/>
  <c r="B82" i="1" s="1"/>
  <c r="E81" i="1"/>
  <c r="G81" i="1" l="1"/>
  <c r="I81" i="1" s="1"/>
  <c r="K81" i="1" s="1"/>
  <c r="C82" i="1" s="1"/>
  <c r="E82" i="1" s="1"/>
  <c r="G82" i="1" s="1"/>
  <c r="I82" i="1" s="1"/>
  <c r="K82" i="1" s="1"/>
  <c r="C83" i="1" s="1"/>
  <c r="D82" i="1"/>
  <c r="F82" i="1" l="1"/>
  <c r="H82" i="1" s="1"/>
  <c r="J82" i="1" s="1"/>
  <c r="B83" i="1" s="1"/>
  <c r="D83" i="1" s="1"/>
  <c r="F83" i="1" s="1"/>
  <c r="H83" i="1" s="1"/>
  <c r="J83" i="1" s="1"/>
  <c r="B84" i="1" s="1"/>
  <c r="E83" i="1"/>
  <c r="G83" i="1" l="1"/>
  <c r="I83" i="1" s="1"/>
  <c r="K83" i="1" s="1"/>
  <c r="C84" i="1" s="1"/>
  <c r="E84" i="1" s="1"/>
  <c r="G84" i="1" s="1"/>
  <c r="I84" i="1" s="1"/>
  <c r="K84" i="1" s="1"/>
  <c r="C85" i="1" s="1"/>
  <c r="D84" i="1"/>
  <c r="F84" i="1" l="1"/>
  <c r="H84" i="1" s="1"/>
  <c r="J84" i="1" s="1"/>
  <c r="B85" i="1" s="1"/>
  <c r="D85" i="1" s="1"/>
  <c r="F85" i="1" s="1"/>
  <c r="H85" i="1" s="1"/>
  <c r="J85" i="1" s="1"/>
  <c r="B86" i="1" s="1"/>
  <c r="E85" i="1"/>
  <c r="G85" i="1"/>
  <c r="I85" i="1" s="1"/>
  <c r="K85" i="1" s="1"/>
  <c r="C86" i="1" s="1"/>
  <c r="E86" i="1" s="1"/>
  <c r="D86" i="1" l="1"/>
  <c r="F86" i="1" s="1"/>
  <c r="H86" i="1" s="1"/>
  <c r="J86" i="1" s="1"/>
  <c r="B87" i="1" s="1"/>
  <c r="G86" i="1" l="1"/>
  <c r="I86" i="1" s="1"/>
  <c r="K86" i="1" s="1"/>
  <c r="C87" i="1" s="1"/>
  <c r="E87" i="1" s="1"/>
  <c r="D87" i="1" l="1"/>
  <c r="F87" i="1" s="1"/>
  <c r="H87" i="1" s="1"/>
  <c r="J87" i="1" s="1"/>
  <c r="B88" i="1" s="1"/>
  <c r="G87" i="1" l="1"/>
  <c r="I87" i="1" s="1"/>
  <c r="K87" i="1" s="1"/>
  <c r="C88" i="1" s="1"/>
  <c r="E88" i="1" s="1"/>
  <c r="D88" i="1" l="1"/>
  <c r="F88" i="1" s="1"/>
  <c r="H88" i="1" s="1"/>
  <c r="J88" i="1" s="1"/>
  <c r="B89" i="1" s="1"/>
  <c r="G88" i="1" l="1"/>
  <c r="I88" i="1" s="1"/>
  <c r="K88" i="1" s="1"/>
  <c r="C89" i="1" s="1"/>
  <c r="E89" i="1" s="1"/>
  <c r="D89" i="1" l="1"/>
  <c r="F89" i="1" s="1"/>
  <c r="H89" i="1" s="1"/>
  <c r="J89" i="1" s="1"/>
  <c r="B90" i="1" s="1"/>
  <c r="G89" i="1" l="1"/>
  <c r="I89" i="1" s="1"/>
  <c r="K89" i="1" s="1"/>
  <c r="C90" i="1" s="1"/>
  <c r="E90" i="1" s="1"/>
  <c r="D90" i="1" l="1"/>
  <c r="F90" i="1" s="1"/>
  <c r="H90" i="1" s="1"/>
  <c r="J90" i="1" s="1"/>
  <c r="B91" i="1" s="1"/>
  <c r="G90" i="1" l="1"/>
  <c r="I90" i="1" s="1"/>
  <c r="K90" i="1" s="1"/>
  <c r="C91" i="1" s="1"/>
  <c r="E91" i="1" s="1"/>
  <c r="D91" i="1" l="1"/>
  <c r="F91" i="1" s="1"/>
  <c r="H91" i="1" s="1"/>
  <c r="J91" i="1" s="1"/>
  <c r="B92" i="1" s="1"/>
  <c r="G91" i="1" l="1"/>
  <c r="I91" i="1" s="1"/>
  <c r="K91" i="1" s="1"/>
  <c r="C92" i="1" s="1"/>
  <c r="E92" i="1" s="1"/>
  <c r="D92" i="1" l="1"/>
  <c r="F92" i="1" s="1"/>
  <c r="H92" i="1" s="1"/>
  <c r="J92" i="1" s="1"/>
  <c r="G92" i="1" l="1"/>
  <c r="I92" i="1" s="1"/>
  <c r="K92" i="1" s="1"/>
</calcChain>
</file>

<file path=xl/sharedStrings.xml><?xml version="1.0" encoding="utf-8"?>
<sst xmlns="http://schemas.openxmlformats.org/spreadsheetml/2006/main" count="29" uniqueCount="21">
  <si>
    <t>rho</t>
  </si>
  <si>
    <t>Budget</t>
  </si>
  <si>
    <t>price g(1)</t>
  </si>
  <si>
    <t>Optimal1</t>
  </si>
  <si>
    <t>Firm 1 g</t>
  </si>
  <si>
    <t>Firm 0 g</t>
  </si>
  <si>
    <t>stock clearing price based on that demand</t>
  </si>
  <si>
    <t>output (based on ratio of demand)</t>
  </si>
  <si>
    <t>Optimal0</t>
  </si>
  <si>
    <t>price g(0)</t>
  </si>
  <si>
    <t>diff0</t>
  </si>
  <si>
    <t>diff1</t>
  </si>
  <si>
    <t>diff between optima and output</t>
  </si>
  <si>
    <t>adder for price differences</t>
  </si>
  <si>
    <t>Price change magnitude</t>
  </si>
  <si>
    <t>use polarity of diff to test direction of prices &amp; production</t>
  </si>
  <si>
    <t>pol0</t>
  </si>
  <si>
    <t>pol1</t>
  </si>
  <si>
    <t>polarity of change</t>
  </si>
  <si>
    <t>Well that didn't work! I was trying to see if polarity of difference alone might determine equilibrium direction. Bah.</t>
  </si>
  <si>
    <t>for comparative statics, thesisdiary section "yes, with the rethinking"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</si>
</sst>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Optimal0</c:v>
                </c:pt>
              </c:strCache>
            </c:strRef>
          </c:tx>
          <c:marker>
            <c:symbol val="none"/>
          </c:marker>
          <c:cat>
            <c:numRef>
              <c:f>Sheet1!$B$9:$B$34</c:f>
              <c:numCache>
                <c:formatCode>0.0000</c:formatCode>
                <c:ptCount val="26"/>
                <c:pt idx="0">
                  <c:v>0.57666666666666588</c:v>
                </c:pt>
                <c:pt idx="1">
                  <c:v>0.58666666666666589</c:v>
                </c:pt>
                <c:pt idx="2">
                  <c:v>0.5966666666666659</c:v>
                </c:pt>
                <c:pt idx="3">
                  <c:v>0.60666666666666591</c:v>
                </c:pt>
                <c:pt idx="4">
                  <c:v>0.61666666666666592</c:v>
                </c:pt>
                <c:pt idx="5">
                  <c:v>0.62666666666666593</c:v>
                </c:pt>
                <c:pt idx="6">
                  <c:v>0.63666666666666594</c:v>
                </c:pt>
                <c:pt idx="7">
                  <c:v>0.64666666666666595</c:v>
                </c:pt>
                <c:pt idx="8">
                  <c:v>0.65666666666666595</c:v>
                </c:pt>
                <c:pt idx="9">
                  <c:v>0.66666666666666596</c:v>
                </c:pt>
                <c:pt idx="10">
                  <c:v>0.67666666666666597</c:v>
                </c:pt>
                <c:pt idx="11">
                  <c:v>0.68666666666666598</c:v>
                </c:pt>
                <c:pt idx="12">
                  <c:v>0.69666666666666599</c:v>
                </c:pt>
                <c:pt idx="13">
                  <c:v>0.706666666666666</c:v>
                </c:pt>
                <c:pt idx="14">
                  <c:v>0.71666666666666601</c:v>
                </c:pt>
                <c:pt idx="15">
                  <c:v>0.72666666666666602</c:v>
                </c:pt>
                <c:pt idx="16">
                  <c:v>0.73666666666666603</c:v>
                </c:pt>
                <c:pt idx="17">
                  <c:v>0.74666666666666603</c:v>
                </c:pt>
                <c:pt idx="18">
                  <c:v>0.75666666666666604</c:v>
                </c:pt>
                <c:pt idx="19">
                  <c:v>0.76666666666666605</c:v>
                </c:pt>
                <c:pt idx="20">
                  <c:v>0.77666666666666606</c:v>
                </c:pt>
                <c:pt idx="21">
                  <c:v>0.78666666666666607</c:v>
                </c:pt>
                <c:pt idx="22">
                  <c:v>0.79666666666666608</c:v>
                </c:pt>
                <c:pt idx="23">
                  <c:v>0.80666666666666609</c:v>
                </c:pt>
                <c:pt idx="24">
                  <c:v>0.8166666666666661</c:v>
                </c:pt>
                <c:pt idx="25">
                  <c:v>0.82666666666666611</c:v>
                </c:pt>
              </c:numCache>
            </c:numRef>
          </c:cat>
          <c:val>
            <c:numRef>
              <c:f>Sheet1!$D$9:$D$34</c:f>
              <c:numCache>
                <c:formatCode>General</c:formatCode>
                <c:ptCount val="26"/>
                <c:pt idx="0">
                  <c:v>1.2966716080652279</c:v>
                </c:pt>
                <c:pt idx="1">
                  <c:v>1.2341786791906495</c:v>
                </c:pt>
                <c:pt idx="2">
                  <c:v>1.1717083322423485</c:v>
                </c:pt>
                <c:pt idx="3">
                  <c:v>1.1094017251249315</c:v>
                </c:pt>
                <c:pt idx="4">
                  <c:v>1.0474289484076462</c:v>
                </c:pt>
                <c:pt idx="5">
                  <c:v>0.98598538414049908</c:v>
                </c:pt>
                <c:pt idx="6">
                  <c:v>0.92528690231033728</c:v>
                </c:pt>
                <c:pt idx="7">
                  <c:v>0.8655640237832688</c:v>
                </c:pt>
                <c:pt idx="8">
                  <c:v>0.80705527002955713</c:v>
                </c:pt>
                <c:pt idx="9">
                  <c:v>0.75000000000000067</c:v>
                </c:pt>
                <c:pt idx="10">
                  <c:v>0.69463109263141654</c:v>
                </c:pt>
                <c:pt idx="11">
                  <c:v>0.6411678610973115</c:v>
                </c:pt>
                <c:pt idx="12">
                  <c:v>0.58980957731447792</c:v>
                </c:pt>
                <c:pt idx="13">
                  <c:v>0.54072994236597427</c:v>
                </c:pt>
                <c:pt idx="14">
                  <c:v>0.49407276532365502</c:v>
                </c:pt>
                <c:pt idx="15">
                  <c:v>0.44994901847368235</c:v>
                </c:pt>
                <c:pt idx="16">
                  <c:v>0.40843533270868765</c:v>
                </c:pt>
                <c:pt idx="17">
                  <c:v>0.36957389492163389</c:v>
                </c:pt>
                <c:pt idx="18">
                  <c:v>0.33337362028509215</c:v>
                </c:pt>
                <c:pt idx="19">
                  <c:v>0.29981240411107529</c:v>
                </c:pt>
                <c:pt idx="20">
                  <c:v>0.26884021469394381</c:v>
                </c:pt>
                <c:pt idx="21">
                  <c:v>0.24038277060152513</c:v>
                </c:pt>
                <c:pt idx="22">
                  <c:v>0.21434555068062106</c:v>
                </c:pt>
                <c:pt idx="23">
                  <c:v>0.19061790786606747</c:v>
                </c:pt>
                <c:pt idx="24">
                  <c:v>0.16907709300125257</c:v>
                </c:pt>
                <c:pt idx="25">
                  <c:v>0.14959203653654099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Optimal1</c:v>
                </c:pt>
              </c:strCache>
            </c:strRef>
          </c:tx>
          <c:marker>
            <c:symbol val="none"/>
          </c:marker>
          <c:cat>
            <c:numRef>
              <c:f>Sheet1!$B$9:$B$34</c:f>
              <c:numCache>
                <c:formatCode>0.0000</c:formatCode>
                <c:ptCount val="26"/>
                <c:pt idx="0">
                  <c:v>0.57666666666666588</c:v>
                </c:pt>
                <c:pt idx="1">
                  <c:v>0.58666666666666589</c:v>
                </c:pt>
                <c:pt idx="2">
                  <c:v>0.5966666666666659</c:v>
                </c:pt>
                <c:pt idx="3">
                  <c:v>0.60666666666666591</c:v>
                </c:pt>
                <c:pt idx="4">
                  <c:v>0.61666666666666592</c:v>
                </c:pt>
                <c:pt idx="5">
                  <c:v>0.62666666666666593</c:v>
                </c:pt>
                <c:pt idx="6">
                  <c:v>0.63666666666666594</c:v>
                </c:pt>
                <c:pt idx="7">
                  <c:v>0.64666666666666595</c:v>
                </c:pt>
                <c:pt idx="8">
                  <c:v>0.65666666666666595</c:v>
                </c:pt>
                <c:pt idx="9">
                  <c:v>0.66666666666666596</c:v>
                </c:pt>
                <c:pt idx="10">
                  <c:v>0.67666666666666597</c:v>
                </c:pt>
                <c:pt idx="11">
                  <c:v>0.68666666666666598</c:v>
                </c:pt>
                <c:pt idx="12">
                  <c:v>0.69666666666666599</c:v>
                </c:pt>
                <c:pt idx="13">
                  <c:v>0.706666666666666</c:v>
                </c:pt>
                <c:pt idx="14">
                  <c:v>0.71666666666666601</c:v>
                </c:pt>
                <c:pt idx="15">
                  <c:v>0.72666666666666602</c:v>
                </c:pt>
                <c:pt idx="16">
                  <c:v>0.73666666666666603</c:v>
                </c:pt>
                <c:pt idx="17">
                  <c:v>0.74666666666666603</c:v>
                </c:pt>
                <c:pt idx="18">
                  <c:v>0.75666666666666604</c:v>
                </c:pt>
                <c:pt idx="19">
                  <c:v>0.76666666666666605</c:v>
                </c:pt>
                <c:pt idx="20">
                  <c:v>0.77666666666666606</c:v>
                </c:pt>
                <c:pt idx="21">
                  <c:v>0.78666666666666607</c:v>
                </c:pt>
                <c:pt idx="22">
                  <c:v>0.79666666666666608</c:v>
                </c:pt>
                <c:pt idx="23">
                  <c:v>0.80666666666666609</c:v>
                </c:pt>
                <c:pt idx="24">
                  <c:v>0.8166666666666661</c:v>
                </c:pt>
                <c:pt idx="25">
                  <c:v>0.82666666666666611</c:v>
                </c:pt>
              </c:numCache>
            </c:numRef>
          </c:cat>
          <c:val>
            <c:numRef>
              <c:f>Sheet1!$E$9:$E$34</c:f>
              <c:numCache>
                <c:formatCode>General</c:formatCode>
                <c:ptCount val="26"/>
                <c:pt idx="0">
                  <c:v>0.33337362028509215</c:v>
                </c:pt>
                <c:pt idx="1">
                  <c:v>0.36957389492163389</c:v>
                </c:pt>
                <c:pt idx="2">
                  <c:v>0.40843533270868765</c:v>
                </c:pt>
                <c:pt idx="3">
                  <c:v>0.44994901847368235</c:v>
                </c:pt>
                <c:pt idx="4">
                  <c:v>0.49407276532365502</c:v>
                </c:pt>
                <c:pt idx="5">
                  <c:v>0.54072994236597427</c:v>
                </c:pt>
                <c:pt idx="6">
                  <c:v>0.58980957731447792</c:v>
                </c:pt>
                <c:pt idx="7">
                  <c:v>0.6411678610973115</c:v>
                </c:pt>
                <c:pt idx="8">
                  <c:v>0.69463109263141654</c:v>
                </c:pt>
                <c:pt idx="9">
                  <c:v>0.75000000000000067</c:v>
                </c:pt>
                <c:pt idx="10">
                  <c:v>0.80705527002955713</c:v>
                </c:pt>
                <c:pt idx="11">
                  <c:v>0.8655640237832688</c:v>
                </c:pt>
                <c:pt idx="12">
                  <c:v>0.92528690231033728</c:v>
                </c:pt>
                <c:pt idx="13">
                  <c:v>0.98598538414049908</c:v>
                </c:pt>
                <c:pt idx="14">
                  <c:v>1.0474289484076462</c:v>
                </c:pt>
                <c:pt idx="15">
                  <c:v>1.1094017251249315</c:v>
                </c:pt>
                <c:pt idx="16">
                  <c:v>1.1717083322423485</c:v>
                </c:pt>
                <c:pt idx="17">
                  <c:v>1.2341786791906495</c:v>
                </c:pt>
                <c:pt idx="18">
                  <c:v>1.2966716080652279</c:v>
                </c:pt>
                <c:pt idx="19">
                  <c:v>1.3590773356144297</c:v>
                </c:pt>
                <c:pt idx="20">
                  <c:v>1.4213187423731228</c:v>
                </c:pt>
                <c:pt idx="21">
                  <c:v>1.48335162279293</c:v>
                </c:pt>
                <c:pt idx="22">
                  <c:v>1.5451640583064097</c:v>
                </c:pt>
                <c:pt idx="23">
                  <c:v>1.6067751031418487</c:v>
                </c:pt>
                <c:pt idx="24">
                  <c:v>1.6682329820302815</c:v>
                </c:pt>
                <c:pt idx="25">
                  <c:v>1.7296129930193314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95936"/>
        <c:axId val="88716032"/>
      </c:lineChart>
      <c:catAx>
        <c:axId val="88695936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crossAx val="88716032"/>
        <c:crosses val="autoZero"/>
        <c:auto val="1"/>
        <c:lblAlgn val="ctr"/>
        <c:lblOffset val="100"/>
        <c:noMultiLvlLbl val="0"/>
      </c:catAx>
      <c:valAx>
        <c:axId val="88716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8695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Firm 0 g</c:v>
                </c:pt>
              </c:strCache>
            </c:strRef>
          </c:tx>
          <c:marker>
            <c:symbol val="none"/>
          </c:marker>
          <c:val>
            <c:numRef>
              <c:f>Sheet1!$F$9:$F$34</c:f>
              <c:numCache>
                <c:formatCode>General</c:formatCode>
                <c:ptCount val="26"/>
                <c:pt idx="0">
                  <c:v>1.4282735642043922</c:v>
                </c:pt>
                <c:pt idx="1">
                  <c:v>1.3617744371812019</c:v>
                </c:pt>
                <c:pt idx="2">
                  <c:v>1.2913722275211683</c:v>
                </c:pt>
                <c:pt idx="3">
                  <c:v>1.2176136485247238</c:v>
                </c:pt>
                <c:pt idx="4">
                  <c:v>1.1411874001067459</c:v>
                </c:pt>
                <c:pt idx="5">
                  <c:v>1.0629066125132005</c:v>
                </c:pt>
                <c:pt idx="6">
                  <c:v>0.98368012214225342</c:v>
                </c:pt>
                <c:pt idx="7">
                  <c:v>0.90447402579930292</c:v>
                </c:pt>
                <c:pt idx="8">
                  <c:v>0.82626648763949906</c:v>
                </c:pt>
                <c:pt idx="9">
                  <c:v>0.75</c:v>
                </c:pt>
                <c:pt idx="10">
                  <c:v>0.67653591780343025</c:v>
                </c:pt>
                <c:pt idx="11">
                  <c:v>0.60661590659750164</c:v>
                </c:pt>
                <c:pt idx="12">
                  <c:v>0.54083396744861445</c:v>
                </c:pt>
                <c:pt idx="13">
                  <c:v>0.47962113152784014</c:v>
                </c:pt>
                <c:pt idx="14">
                  <c:v>0.42324310182301839</c:v>
                </c:pt>
                <c:pt idx="15">
                  <c:v>0.37180944525819271</c:v>
                </c:pt>
                <c:pt idx="16">
                  <c:v>0.3252917166616543</c:v>
                </c:pt>
                <c:pt idx="17">
                  <c:v>0.28354728640316396</c:v>
                </c:pt>
                <c:pt idx="18">
                  <c:v>0.24634563849273919</c:v>
                </c:pt>
                <c:pt idx="19">
                  <c:v>0.21339436817997981</c:v>
                </c:pt>
                <c:pt idx="20">
                  <c:v>0.18436283734483547</c:v>
                </c:pt>
                <c:pt idx="21">
                  <c:v>0.15890224501265404</c:v>
                </c:pt>
                <c:pt idx="22">
                  <c:v>0.13666158971596457</c:v>
                </c:pt>
                <c:pt idx="23">
                  <c:v>0.11729955558568514</c:v>
                </c:pt>
                <c:pt idx="24">
                  <c:v>0.10049271988902028</c:v>
                </c:pt>
                <c:pt idx="25">
                  <c:v>8.5940673051380576E-2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Sheet1!$G$4</c:f>
              <c:strCache>
                <c:ptCount val="1"/>
                <c:pt idx="0">
                  <c:v>Firm 1 g</c:v>
                </c:pt>
              </c:strCache>
            </c:strRef>
          </c:tx>
          <c:marker>
            <c:symbol val="none"/>
          </c:marker>
          <c:val>
            <c:numRef>
              <c:f>Sheet1!$G$9:$G$34</c:f>
              <c:numCache>
                <c:formatCode>General</c:formatCode>
                <c:ptCount val="26"/>
                <c:pt idx="0">
                  <c:v>0.24634563849273919</c:v>
                </c:pt>
                <c:pt idx="1">
                  <c:v>0.28354728640316396</c:v>
                </c:pt>
                <c:pt idx="2">
                  <c:v>0.3252917166616543</c:v>
                </c:pt>
                <c:pt idx="3">
                  <c:v>0.37180944525819271</c:v>
                </c:pt>
                <c:pt idx="4">
                  <c:v>0.42324310182301839</c:v>
                </c:pt>
                <c:pt idx="5">
                  <c:v>0.47962113152784014</c:v>
                </c:pt>
                <c:pt idx="6">
                  <c:v>0.54083396744861445</c:v>
                </c:pt>
                <c:pt idx="7">
                  <c:v>0.60661590659750164</c:v>
                </c:pt>
                <c:pt idx="8">
                  <c:v>0.67653591780343025</c:v>
                </c:pt>
                <c:pt idx="9">
                  <c:v>0.75</c:v>
                </c:pt>
                <c:pt idx="10">
                  <c:v>0.82626648763949906</c:v>
                </c:pt>
                <c:pt idx="11">
                  <c:v>0.90447402579930292</c:v>
                </c:pt>
                <c:pt idx="12">
                  <c:v>0.98368012214225342</c:v>
                </c:pt>
                <c:pt idx="13">
                  <c:v>1.0629066125132005</c:v>
                </c:pt>
                <c:pt idx="14">
                  <c:v>1.1411874001067459</c:v>
                </c:pt>
                <c:pt idx="15">
                  <c:v>1.2176136485247238</c:v>
                </c:pt>
                <c:pt idx="16">
                  <c:v>1.2913722275211683</c:v>
                </c:pt>
                <c:pt idx="17">
                  <c:v>1.3617744371812019</c:v>
                </c:pt>
                <c:pt idx="18">
                  <c:v>1.4282735642043922</c:v>
                </c:pt>
                <c:pt idx="19">
                  <c:v>1.4904713265058902</c:v>
                </c:pt>
                <c:pt idx="20">
                  <c:v>1.5481144807749603</c:v>
                </c:pt>
                <c:pt idx="21">
                  <c:v>1.6010836587555159</c:v>
                </c:pt>
                <c:pt idx="22">
                  <c:v>1.6493768381333411</c:v>
                </c:pt>
                <c:pt idx="23">
                  <c:v>1.6930898102519687</c:v>
                </c:pt>
                <c:pt idx="24">
                  <c:v>1.7323956952246329</c:v>
                </c:pt>
                <c:pt idx="25">
                  <c:v>1.7675251001175527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88224"/>
        <c:axId val="81589760"/>
      </c:lineChart>
      <c:catAx>
        <c:axId val="81588224"/>
        <c:scaling>
          <c:orientation val="minMax"/>
        </c:scaling>
        <c:delete val="0"/>
        <c:axPos val="b"/>
        <c:majorTickMark val="out"/>
        <c:minorTickMark val="none"/>
        <c:tickLblPos val="nextTo"/>
        <c:crossAx val="81589760"/>
        <c:crosses val="autoZero"/>
        <c:auto val="1"/>
        <c:lblAlgn val="ctr"/>
        <c:lblOffset val="100"/>
        <c:noMultiLvlLbl val="0"/>
      </c:catAx>
      <c:valAx>
        <c:axId val="8158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588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Optimal0</c:v>
                </c:pt>
              </c:strCache>
            </c:strRef>
          </c:tx>
          <c:marker>
            <c:symbol val="none"/>
          </c:marker>
          <c:val>
            <c:numRef>
              <c:f>Sheet1!$D$5:$D$33</c:f>
              <c:numCache>
                <c:formatCode>General</c:formatCode>
                <c:ptCount val="29"/>
                <c:pt idx="0">
                  <c:v>1.5451640583064097</c:v>
                </c:pt>
                <c:pt idx="1">
                  <c:v>1.48335162279293</c:v>
                </c:pt>
                <c:pt idx="2">
                  <c:v>1.4213187423731228</c:v>
                </c:pt>
                <c:pt idx="3">
                  <c:v>1.3590773356144297</c:v>
                </c:pt>
                <c:pt idx="4">
                  <c:v>1.2966716080652279</c:v>
                </c:pt>
                <c:pt idx="5">
                  <c:v>1.2341786791906495</c:v>
                </c:pt>
                <c:pt idx="6">
                  <c:v>1.1717083322423485</c:v>
                </c:pt>
                <c:pt idx="7">
                  <c:v>1.1094017251249315</c:v>
                </c:pt>
                <c:pt idx="8">
                  <c:v>1.0474289484076462</c:v>
                </c:pt>
                <c:pt idx="9">
                  <c:v>0.98598538414049908</c:v>
                </c:pt>
                <c:pt idx="10">
                  <c:v>0.92528690231033728</c:v>
                </c:pt>
                <c:pt idx="11">
                  <c:v>0.8655640237832688</c:v>
                </c:pt>
                <c:pt idx="12">
                  <c:v>0.80705527002955713</c:v>
                </c:pt>
                <c:pt idx="13">
                  <c:v>0.75000000000000067</c:v>
                </c:pt>
                <c:pt idx="14">
                  <c:v>0.69463109263141654</c:v>
                </c:pt>
                <c:pt idx="15">
                  <c:v>0.6411678610973115</c:v>
                </c:pt>
                <c:pt idx="16">
                  <c:v>0.58980957731447792</c:v>
                </c:pt>
                <c:pt idx="17">
                  <c:v>0.54072994236597427</c:v>
                </c:pt>
                <c:pt idx="18">
                  <c:v>0.49407276532365502</c:v>
                </c:pt>
                <c:pt idx="19">
                  <c:v>0.44994901847368235</c:v>
                </c:pt>
                <c:pt idx="20">
                  <c:v>0.40843533270868765</c:v>
                </c:pt>
                <c:pt idx="21">
                  <c:v>0.36957389492163389</c:v>
                </c:pt>
                <c:pt idx="22">
                  <c:v>0.33337362028509215</c:v>
                </c:pt>
                <c:pt idx="23">
                  <c:v>0.29981240411107529</c:v>
                </c:pt>
                <c:pt idx="24">
                  <c:v>0.26884021469394381</c:v>
                </c:pt>
                <c:pt idx="25">
                  <c:v>0.24038277060152513</c:v>
                </c:pt>
                <c:pt idx="26">
                  <c:v>0.21434555068062106</c:v>
                </c:pt>
                <c:pt idx="27">
                  <c:v>0.19061790786606747</c:v>
                </c:pt>
                <c:pt idx="28">
                  <c:v>0.16907709300125257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Optimal1</c:v>
                </c:pt>
              </c:strCache>
            </c:strRef>
          </c:tx>
          <c:marker>
            <c:symbol val="none"/>
          </c:marker>
          <c:val>
            <c:numRef>
              <c:f>Sheet1!$E$5:$E$33</c:f>
              <c:numCache>
                <c:formatCode>General</c:formatCode>
                <c:ptCount val="29"/>
                <c:pt idx="0">
                  <c:v>0.21434555068062106</c:v>
                </c:pt>
                <c:pt idx="1">
                  <c:v>0.24038277060152513</c:v>
                </c:pt>
                <c:pt idx="2">
                  <c:v>0.26884021469394381</c:v>
                </c:pt>
                <c:pt idx="3">
                  <c:v>0.29981240411107529</c:v>
                </c:pt>
                <c:pt idx="4">
                  <c:v>0.33337362028509215</c:v>
                </c:pt>
                <c:pt idx="5">
                  <c:v>0.36957389492163389</c:v>
                </c:pt>
                <c:pt idx="6">
                  <c:v>0.40843533270868765</c:v>
                </c:pt>
                <c:pt idx="7">
                  <c:v>0.44994901847368235</c:v>
                </c:pt>
                <c:pt idx="8">
                  <c:v>0.49407276532365502</c:v>
                </c:pt>
                <c:pt idx="9">
                  <c:v>0.54072994236597427</c:v>
                </c:pt>
                <c:pt idx="10">
                  <c:v>0.58980957731447792</c:v>
                </c:pt>
                <c:pt idx="11">
                  <c:v>0.6411678610973115</c:v>
                </c:pt>
                <c:pt idx="12">
                  <c:v>0.69463109263141654</c:v>
                </c:pt>
                <c:pt idx="13">
                  <c:v>0.75000000000000067</c:v>
                </c:pt>
                <c:pt idx="14">
                  <c:v>0.80705527002955713</c:v>
                </c:pt>
                <c:pt idx="15">
                  <c:v>0.8655640237832688</c:v>
                </c:pt>
                <c:pt idx="16">
                  <c:v>0.92528690231033728</c:v>
                </c:pt>
                <c:pt idx="17">
                  <c:v>0.98598538414049908</c:v>
                </c:pt>
                <c:pt idx="18">
                  <c:v>1.0474289484076462</c:v>
                </c:pt>
                <c:pt idx="19">
                  <c:v>1.1094017251249315</c:v>
                </c:pt>
                <c:pt idx="20">
                  <c:v>1.1717083322423485</c:v>
                </c:pt>
                <c:pt idx="21">
                  <c:v>1.2341786791906495</c:v>
                </c:pt>
                <c:pt idx="22">
                  <c:v>1.2966716080652279</c:v>
                </c:pt>
                <c:pt idx="23">
                  <c:v>1.3590773356144297</c:v>
                </c:pt>
                <c:pt idx="24">
                  <c:v>1.4213187423731228</c:v>
                </c:pt>
                <c:pt idx="25">
                  <c:v>1.48335162279293</c:v>
                </c:pt>
                <c:pt idx="26">
                  <c:v>1.5451640583064097</c:v>
                </c:pt>
                <c:pt idx="27">
                  <c:v>1.6067751031418487</c:v>
                </c:pt>
                <c:pt idx="28">
                  <c:v>1.6682329820302815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Firm 0 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val>
            <c:numRef>
              <c:f>Sheet1!$F$5:$F$33</c:f>
              <c:numCache>
                <c:formatCode>General</c:formatCode>
                <c:ptCount val="29"/>
                <c:pt idx="0">
                  <c:v>1.6493768381333411</c:v>
                </c:pt>
                <c:pt idx="1">
                  <c:v>1.6010836587555159</c:v>
                </c:pt>
                <c:pt idx="2">
                  <c:v>1.5481144807749603</c:v>
                </c:pt>
                <c:pt idx="3">
                  <c:v>1.4904713265058902</c:v>
                </c:pt>
                <c:pt idx="4">
                  <c:v>1.4282735642043922</c:v>
                </c:pt>
                <c:pt idx="5">
                  <c:v>1.3617744371812019</c:v>
                </c:pt>
                <c:pt idx="6">
                  <c:v>1.2913722275211683</c:v>
                </c:pt>
                <c:pt idx="7">
                  <c:v>1.2176136485247238</c:v>
                </c:pt>
                <c:pt idx="8">
                  <c:v>1.1411874001067459</c:v>
                </c:pt>
                <c:pt idx="9">
                  <c:v>1.0629066125132005</c:v>
                </c:pt>
                <c:pt idx="10">
                  <c:v>0.98368012214225342</c:v>
                </c:pt>
                <c:pt idx="11">
                  <c:v>0.90447402579930292</c:v>
                </c:pt>
                <c:pt idx="12">
                  <c:v>0.82626648763949906</c:v>
                </c:pt>
                <c:pt idx="13">
                  <c:v>0.75</c:v>
                </c:pt>
                <c:pt idx="14">
                  <c:v>0.67653591780343025</c:v>
                </c:pt>
                <c:pt idx="15">
                  <c:v>0.60661590659750164</c:v>
                </c:pt>
                <c:pt idx="16">
                  <c:v>0.54083396744861445</c:v>
                </c:pt>
                <c:pt idx="17">
                  <c:v>0.47962113152784014</c:v>
                </c:pt>
                <c:pt idx="18">
                  <c:v>0.42324310182301839</c:v>
                </c:pt>
                <c:pt idx="19">
                  <c:v>0.37180944525819271</c:v>
                </c:pt>
                <c:pt idx="20">
                  <c:v>0.3252917166616543</c:v>
                </c:pt>
                <c:pt idx="21">
                  <c:v>0.28354728640316396</c:v>
                </c:pt>
                <c:pt idx="22">
                  <c:v>0.24634563849273919</c:v>
                </c:pt>
                <c:pt idx="23">
                  <c:v>0.21339436817997981</c:v>
                </c:pt>
                <c:pt idx="24">
                  <c:v>0.18436283734483547</c:v>
                </c:pt>
                <c:pt idx="25">
                  <c:v>0.15890224501265404</c:v>
                </c:pt>
                <c:pt idx="26">
                  <c:v>0.13666158971596457</c:v>
                </c:pt>
                <c:pt idx="27">
                  <c:v>0.11729955558568514</c:v>
                </c:pt>
                <c:pt idx="28">
                  <c:v>0.10049271988902028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Sheet1!$G$4</c:f>
              <c:strCache>
                <c:ptCount val="1"/>
                <c:pt idx="0">
                  <c:v>Firm 1 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val>
            <c:numRef>
              <c:f>Sheet1!$G$5:$G$33</c:f>
              <c:numCache>
                <c:formatCode>General</c:formatCode>
                <c:ptCount val="29"/>
                <c:pt idx="0">
                  <c:v>0.13666158971596457</c:v>
                </c:pt>
                <c:pt idx="1">
                  <c:v>0.15890224501265404</c:v>
                </c:pt>
                <c:pt idx="2">
                  <c:v>0.18436283734483547</c:v>
                </c:pt>
                <c:pt idx="3">
                  <c:v>0.21339436817997981</c:v>
                </c:pt>
                <c:pt idx="4">
                  <c:v>0.24634563849273919</c:v>
                </c:pt>
                <c:pt idx="5">
                  <c:v>0.28354728640316396</c:v>
                </c:pt>
                <c:pt idx="6">
                  <c:v>0.3252917166616543</c:v>
                </c:pt>
                <c:pt idx="7">
                  <c:v>0.37180944525819271</c:v>
                </c:pt>
                <c:pt idx="8">
                  <c:v>0.42324310182301839</c:v>
                </c:pt>
                <c:pt idx="9">
                  <c:v>0.47962113152784014</c:v>
                </c:pt>
                <c:pt idx="10">
                  <c:v>0.54083396744861445</c:v>
                </c:pt>
                <c:pt idx="11">
                  <c:v>0.60661590659750164</c:v>
                </c:pt>
                <c:pt idx="12">
                  <c:v>0.67653591780343025</c:v>
                </c:pt>
                <c:pt idx="13">
                  <c:v>0.75</c:v>
                </c:pt>
                <c:pt idx="14">
                  <c:v>0.82626648763949906</c:v>
                </c:pt>
                <c:pt idx="15">
                  <c:v>0.90447402579930292</c:v>
                </c:pt>
                <c:pt idx="16">
                  <c:v>0.98368012214225342</c:v>
                </c:pt>
                <c:pt idx="17">
                  <c:v>1.0629066125132005</c:v>
                </c:pt>
                <c:pt idx="18">
                  <c:v>1.1411874001067459</c:v>
                </c:pt>
                <c:pt idx="19">
                  <c:v>1.2176136485247238</c:v>
                </c:pt>
                <c:pt idx="20">
                  <c:v>1.2913722275211683</c:v>
                </c:pt>
                <c:pt idx="21">
                  <c:v>1.3617744371812019</c:v>
                </c:pt>
                <c:pt idx="22">
                  <c:v>1.4282735642043922</c:v>
                </c:pt>
                <c:pt idx="23">
                  <c:v>1.4904713265058902</c:v>
                </c:pt>
                <c:pt idx="24">
                  <c:v>1.5481144807749603</c:v>
                </c:pt>
                <c:pt idx="25">
                  <c:v>1.6010836587555159</c:v>
                </c:pt>
                <c:pt idx="26">
                  <c:v>1.6493768381333411</c:v>
                </c:pt>
                <c:pt idx="27">
                  <c:v>1.6930898102519687</c:v>
                </c:pt>
                <c:pt idx="28">
                  <c:v>1.7323956952246329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99648"/>
        <c:axId val="43101184"/>
      </c:lineChart>
      <c:catAx>
        <c:axId val="43099648"/>
        <c:scaling>
          <c:orientation val="minMax"/>
        </c:scaling>
        <c:delete val="0"/>
        <c:axPos val="b"/>
        <c:majorTickMark val="out"/>
        <c:minorTickMark val="none"/>
        <c:tickLblPos val="nextTo"/>
        <c:crossAx val="43101184"/>
        <c:crosses val="autoZero"/>
        <c:auto val="1"/>
        <c:lblAlgn val="ctr"/>
        <c:lblOffset val="100"/>
        <c:noMultiLvlLbl val="0"/>
      </c:catAx>
      <c:valAx>
        <c:axId val="4310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099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diff0</c:v>
                </c:pt>
              </c:strCache>
            </c:strRef>
          </c:tx>
          <c:marker>
            <c:symbol val="none"/>
          </c:marker>
          <c:val>
            <c:numRef>
              <c:f>Sheet1!$H$5:$H$34</c:f>
              <c:numCache>
                <c:formatCode>General</c:formatCode>
                <c:ptCount val="30"/>
                <c:pt idx="0">
                  <c:v>0.10421277982693145</c:v>
                </c:pt>
                <c:pt idx="1">
                  <c:v>0.11773203596258597</c:v>
                </c:pt>
                <c:pt idx="2">
                  <c:v>0.12679573840183744</c:v>
                </c:pt>
                <c:pt idx="3">
                  <c:v>0.13139399089146053</c:v>
                </c:pt>
                <c:pt idx="4">
                  <c:v>0.13160195613916437</c:v>
                </c:pt>
                <c:pt idx="5">
                  <c:v>0.12759575799055245</c:v>
                </c:pt>
                <c:pt idx="6">
                  <c:v>0.11966389527881982</c:v>
                </c:pt>
                <c:pt idx="7">
                  <c:v>0.10821192339979224</c:v>
                </c:pt>
                <c:pt idx="8">
                  <c:v>9.3758451699099687E-2</c:v>
                </c:pt>
                <c:pt idx="9">
                  <c:v>7.6921228372701433E-2</c:v>
                </c:pt>
                <c:pt idx="10">
                  <c:v>5.8393219831916143E-2</c:v>
                </c:pt>
                <c:pt idx="11">
                  <c:v>3.8910002016034118E-2</c:v>
                </c:pt>
                <c:pt idx="12">
                  <c:v>1.9211217609941933E-2</c:v>
                </c:pt>
                <c:pt idx="13">
                  <c:v>0</c:v>
                </c:pt>
                <c:pt idx="14">
                  <c:v>-1.8095174827986282E-2</c:v>
                </c:pt>
                <c:pt idx="15">
                  <c:v>-3.4551954499809856E-2</c:v>
                </c:pt>
                <c:pt idx="16">
                  <c:v>-4.8975609865863468E-2</c:v>
                </c:pt>
                <c:pt idx="17">
                  <c:v>-6.1108810838134131E-2</c:v>
                </c:pt>
                <c:pt idx="18">
                  <c:v>-7.082966350063663E-2</c:v>
                </c:pt>
                <c:pt idx="19">
                  <c:v>-7.8139573215489644E-2</c:v>
                </c:pt>
                <c:pt idx="20">
                  <c:v>-8.3143616047033353E-2</c:v>
                </c:pt>
                <c:pt idx="21">
                  <c:v>-8.6026608518469938E-2</c:v>
                </c:pt>
                <c:pt idx="22">
                  <c:v>-8.7027981792352965E-2</c:v>
                </c:pt>
                <c:pt idx="23">
                  <c:v>-8.6418035931095483E-2</c:v>
                </c:pt>
                <c:pt idx="24">
                  <c:v>-8.4477377349108346E-2</c:v>
                </c:pt>
                <c:pt idx="25">
                  <c:v>-8.1480525588871089E-2</c:v>
                </c:pt>
                <c:pt idx="26">
                  <c:v>-7.768396096465649E-2</c:v>
                </c:pt>
                <c:pt idx="27">
                  <c:v>-7.3318352280382332E-2</c:v>
                </c:pt>
                <c:pt idx="28">
                  <c:v>-6.8584373112232283E-2</c:v>
                </c:pt>
                <c:pt idx="29">
                  <c:v>-6.3651363485160414E-2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Sheet1!$I$4</c:f>
              <c:strCache>
                <c:ptCount val="1"/>
                <c:pt idx="0">
                  <c:v>diff1</c:v>
                </c:pt>
              </c:strCache>
            </c:strRef>
          </c:tx>
          <c:marker>
            <c:symbol val="none"/>
          </c:marker>
          <c:val>
            <c:numRef>
              <c:f>Sheet1!$I$5:$I$34</c:f>
              <c:numCache>
                <c:formatCode>General</c:formatCode>
                <c:ptCount val="30"/>
                <c:pt idx="0">
                  <c:v>-7.768396096465649E-2</c:v>
                </c:pt>
                <c:pt idx="1">
                  <c:v>-8.1480525588871089E-2</c:v>
                </c:pt>
                <c:pt idx="2">
                  <c:v>-8.4477377349108346E-2</c:v>
                </c:pt>
                <c:pt idx="3">
                  <c:v>-8.6418035931095483E-2</c:v>
                </c:pt>
                <c:pt idx="4">
                  <c:v>-8.7027981792352965E-2</c:v>
                </c:pt>
                <c:pt idx="5">
                  <c:v>-8.6026608518469938E-2</c:v>
                </c:pt>
                <c:pt idx="6">
                  <c:v>-8.3143616047033353E-2</c:v>
                </c:pt>
                <c:pt idx="7">
                  <c:v>-7.8139573215489644E-2</c:v>
                </c:pt>
                <c:pt idx="8">
                  <c:v>-7.082966350063663E-2</c:v>
                </c:pt>
                <c:pt idx="9">
                  <c:v>-6.1108810838134131E-2</c:v>
                </c:pt>
                <c:pt idx="10">
                  <c:v>-4.8975609865863468E-2</c:v>
                </c:pt>
                <c:pt idx="11">
                  <c:v>-3.4551954499809856E-2</c:v>
                </c:pt>
                <c:pt idx="12">
                  <c:v>-1.8095174827986282E-2</c:v>
                </c:pt>
                <c:pt idx="13">
                  <c:v>0</c:v>
                </c:pt>
                <c:pt idx="14">
                  <c:v>1.9211217609941933E-2</c:v>
                </c:pt>
                <c:pt idx="15">
                  <c:v>3.8910002016034118E-2</c:v>
                </c:pt>
                <c:pt idx="16">
                  <c:v>5.8393219831916143E-2</c:v>
                </c:pt>
                <c:pt idx="17">
                  <c:v>7.6921228372701433E-2</c:v>
                </c:pt>
                <c:pt idx="18">
                  <c:v>9.3758451699099687E-2</c:v>
                </c:pt>
                <c:pt idx="19">
                  <c:v>0.10821192339979224</c:v>
                </c:pt>
                <c:pt idx="20">
                  <c:v>0.11966389527881982</c:v>
                </c:pt>
                <c:pt idx="21">
                  <c:v>0.12759575799055245</c:v>
                </c:pt>
                <c:pt idx="22">
                  <c:v>0.13160195613916437</c:v>
                </c:pt>
                <c:pt idx="23">
                  <c:v>0.13139399089146053</c:v>
                </c:pt>
                <c:pt idx="24">
                  <c:v>0.12679573840183744</c:v>
                </c:pt>
                <c:pt idx="25">
                  <c:v>0.11773203596258597</c:v>
                </c:pt>
                <c:pt idx="26">
                  <c:v>0.10421277982693145</c:v>
                </c:pt>
                <c:pt idx="27">
                  <c:v>8.6314707110120015E-2</c:v>
                </c:pt>
                <c:pt idx="28">
                  <c:v>6.4162713194351406E-2</c:v>
                </c:pt>
                <c:pt idx="29">
                  <c:v>3.7912107098221348E-2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78688"/>
        <c:axId val="77380224"/>
      </c:lineChart>
      <c:catAx>
        <c:axId val="77378688"/>
        <c:scaling>
          <c:orientation val="minMax"/>
        </c:scaling>
        <c:delete val="0"/>
        <c:axPos val="b"/>
        <c:majorTickMark val="out"/>
        <c:minorTickMark val="none"/>
        <c:tickLblPos val="nextTo"/>
        <c:crossAx val="77380224"/>
        <c:crosses val="autoZero"/>
        <c:auto val="1"/>
        <c:lblAlgn val="ctr"/>
        <c:lblOffset val="100"/>
        <c:noMultiLvlLbl val="0"/>
      </c:catAx>
      <c:valAx>
        <c:axId val="7738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378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Sheet1!$F$43</c:f>
              <c:strCache>
                <c:ptCount val="1"/>
                <c:pt idx="0">
                  <c:v>Firm 0 g</c:v>
                </c:pt>
              </c:strCache>
            </c:strRef>
          </c:tx>
          <c:marker>
            <c:symbol val="none"/>
          </c:marker>
          <c:val>
            <c:numRef>
              <c:f>Sheet1!$F$44:$F$92</c:f>
              <c:numCache>
                <c:formatCode>General</c:formatCode>
                <c:ptCount val="49"/>
                <c:pt idx="0">
                  <c:v>0.82626648763949906</c:v>
                </c:pt>
                <c:pt idx="1">
                  <c:v>0.83401495110252855</c:v>
                </c:pt>
                <c:pt idx="2">
                  <c:v>0.84178197610084449</c:v>
                </c:pt>
                <c:pt idx="3">
                  <c:v>0.84956663815697531</c:v>
                </c:pt>
                <c:pt idx="4">
                  <c:v>0.85736800544549141</c:v>
                </c:pt>
                <c:pt idx="5">
                  <c:v>0.86518513924400442</c:v>
                </c:pt>
                <c:pt idx="6">
                  <c:v>0.87301709438995789</c:v>
                </c:pt>
                <c:pt idx="7">
                  <c:v>0.88086291974271735</c:v>
                </c:pt>
                <c:pt idx="8">
                  <c:v>0.88872165865048292</c:v>
                </c:pt>
                <c:pt idx="9">
                  <c:v>0.89659234942153432</c:v>
                </c:pt>
                <c:pt idx="10">
                  <c:v>0.90447402579930292</c:v>
                </c:pt>
                <c:pt idx="11">
                  <c:v>0.91236571744077821</c:v>
                </c:pt>
                <c:pt idx="12">
                  <c:v>0.92026645039773891</c:v>
                </c:pt>
                <c:pt idx="13">
                  <c:v>0.92817524760030146</c:v>
                </c:pt>
                <c:pt idx="14">
                  <c:v>0.9360911293422769</c:v>
                </c:pt>
                <c:pt idx="15">
                  <c:v>0.94401311376782693</c:v>
                </c:pt>
                <c:pt idx="16">
                  <c:v>0.95194021735890622</c:v>
                </c:pt>
                <c:pt idx="17">
                  <c:v>0.95987145542298202</c:v>
                </c:pt>
                <c:pt idx="18">
                  <c:v>0.96780584258052904</c:v>
                </c:pt>
                <c:pt idx="19">
                  <c:v>0.97574239325178025</c:v>
                </c:pt>
                <c:pt idx="20">
                  <c:v>0.98368012214225342</c:v>
                </c:pt>
                <c:pt idx="21">
                  <c:v>0.99161804472653592</c:v>
                </c:pt>
                <c:pt idx="22">
                  <c:v>0.99955517772984859</c:v>
                </c:pt>
                <c:pt idx="23">
                  <c:v>1.0074905396068976</c:v>
                </c:pt>
                <c:pt idx="24">
                  <c:v>1.0154231510175418</c:v>
                </c:pt>
                <c:pt idx="25">
                  <c:v>1.0233520352987933</c:v>
                </c:pt>
                <c:pt idx="26">
                  <c:v>1.0312762189327007</c:v>
                </c:pt>
                <c:pt idx="27">
                  <c:v>1.039194732009654</c:v>
                </c:pt>
                <c:pt idx="28">
                  <c:v>1.0471066086866696</c:v>
                </c:pt>
                <c:pt idx="29">
                  <c:v>1.0550108876402216</c:v>
                </c:pt>
                <c:pt idx="30">
                  <c:v>1.0629066125132005</c:v>
                </c:pt>
                <c:pt idx="31">
                  <c:v>1.0707928323555818</c:v>
                </c:pt>
                <c:pt idx="32">
                  <c:v>1.0786686020584164</c:v>
                </c:pt>
                <c:pt idx="33">
                  <c:v>1.0865329827807477</c:v>
                </c:pt>
                <c:pt idx="34">
                  <c:v>1.0943850423690915</c:v>
                </c:pt>
                <c:pt idx="35">
                  <c:v>1.1022238557691166</c:v>
                </c:pt>
                <c:pt idx="36">
                  <c:v>1.1100485054291831</c:v>
                </c:pt>
                <c:pt idx="37">
                  <c:v>1.1178580816954109</c:v>
                </c:pt>
                <c:pt idx="38">
                  <c:v>1.1256516831979635</c:v>
                </c:pt>
                <c:pt idx="39">
                  <c:v>1.1334284172282467</c:v>
                </c:pt>
                <c:pt idx="40">
                  <c:v>1.1411874001067459</c:v>
                </c:pt>
                <c:pt idx="41">
                  <c:v>1.1489277575412247</c:v>
                </c:pt>
                <c:pt idx="42">
                  <c:v>1.1566486249750461</c:v>
                </c:pt>
                <c:pt idx="43">
                  <c:v>1.1643491479253685</c:v>
                </c:pt>
                <c:pt idx="44">
                  <c:v>1.172028482311013</c:v>
                </c:pt>
                <c:pt idx="45">
                  <c:v>1.1796857947697861</c:v>
                </c:pt>
                <c:pt idx="46">
                  <c:v>1.187320262965085</c:v>
                </c:pt>
                <c:pt idx="47">
                  <c:v>1.1949310758816081</c:v>
                </c:pt>
                <c:pt idx="48">
                  <c:v>1.2025174341100247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Sheet1!$G$43</c:f>
              <c:strCache>
                <c:ptCount val="1"/>
                <c:pt idx="0">
                  <c:v>Firm 1 g</c:v>
                </c:pt>
              </c:strCache>
            </c:strRef>
          </c:tx>
          <c:marker>
            <c:symbol val="none"/>
          </c:marker>
          <c:val>
            <c:numRef>
              <c:f>Sheet1!$G$44:$G$92</c:f>
              <c:numCache>
                <c:formatCode>General</c:formatCode>
                <c:ptCount val="49"/>
                <c:pt idx="0">
                  <c:v>0.67653591780343025</c:v>
                </c:pt>
                <c:pt idx="1">
                  <c:v>0.66937340378534604</c:v>
                </c:pt>
                <c:pt idx="2">
                  <c:v>0.66224711949137816</c:v>
                </c:pt>
                <c:pt idx="3">
                  <c:v>0.65515771549437851</c:v>
                </c:pt>
                <c:pt idx="4">
                  <c:v>0.64810582697194563</c:v>
                </c:pt>
                <c:pt idx="5">
                  <c:v>0.64109207351923636</c:v>
                </c:pt>
                <c:pt idx="6">
                  <c:v>0.63411705897518944</c:v>
                </c:pt>
                <c:pt idx="7">
                  <c:v>0.62718137126221585</c:v>
                </c:pt>
                <c:pt idx="8">
                  <c:v>0.62028558223938979</c:v>
                </c:pt>
                <c:pt idx="9">
                  <c:v>0.61343024756914832</c:v>
                </c:pt>
                <c:pt idx="10">
                  <c:v>0.60661590659750164</c:v>
                </c:pt>
                <c:pt idx="11">
                  <c:v>0.5998430822477232</c:v>
                </c:pt>
                <c:pt idx="12">
                  <c:v>0.59311228092748269</c:v>
                </c:pt>
                <c:pt idx="13">
                  <c:v>0.58642399244935439</c:v>
                </c:pt>
                <c:pt idx="14">
                  <c:v>0.57977868996462956</c:v>
                </c:pt>
                <c:pt idx="15">
                  <c:v>0.57317682991032803</c:v>
                </c:pt>
                <c:pt idx="16">
                  <c:v>0.56661885196930706</c:v>
                </c:pt>
                <c:pt idx="17">
                  <c:v>0.56010517904332513</c:v>
                </c:pt>
                <c:pt idx="18">
                  <c:v>0.55363621723892198</c:v>
                </c:pt>
                <c:pt idx="19">
                  <c:v>0.54721235586595673</c:v>
                </c:pt>
                <c:pt idx="20">
                  <c:v>0.54083396744861445</c:v>
                </c:pt>
                <c:pt idx="21">
                  <c:v>0.53450140774870436</c:v>
                </c:pt>
                <c:pt idx="22">
                  <c:v>0.52821501580103636</c:v>
                </c:pt>
                <c:pt idx="23">
                  <c:v>0.52197511396065854</c:v>
                </c:pt>
                <c:pt idx="24">
                  <c:v>0.5157820079617238</c:v>
                </c:pt>
                <c:pt idx="25">
                  <c:v>0.50963598698774659</c:v>
                </c:pt>
                <c:pt idx="26">
                  <c:v>0.50353732375298743</c:v>
                </c:pt>
                <c:pt idx="27">
                  <c:v>0.49748627459470635</c:v>
                </c:pt>
                <c:pt idx="28">
                  <c:v>0.49148307957600418</c:v>
                </c:pt>
                <c:pt idx="29">
                  <c:v>0.4855279625989708</c:v>
                </c:pt>
                <c:pt idx="30">
                  <c:v>0.47962113152784014</c:v>
                </c:pt>
                <c:pt idx="31">
                  <c:v>0.47376277832185743</c:v>
                </c:pt>
                <c:pt idx="32">
                  <c:v>0.46795307917754114</c:v>
                </c:pt>
                <c:pt idx="33">
                  <c:v>0.46219219468003042</c:v>
                </c:pt>
                <c:pt idx="34">
                  <c:v>0.45648026996318719</c:v>
                </c:pt>
                <c:pt idx="35">
                  <c:v>0.45081743487813358</c:v>
                </c:pt>
                <c:pt idx="36">
                  <c:v>0.44520380416988697</c:v>
                </c:pt>
                <c:pt idx="37">
                  <c:v>0.43963947766175848</c:v>
                </c:pt>
                <c:pt idx="38">
                  <c:v>0.43412454044717103</c:v>
                </c:pt>
                <c:pt idx="39">
                  <c:v>0.42865906308856183</c:v>
                </c:pt>
                <c:pt idx="40">
                  <c:v>0.42324310182301839</c:v>
                </c:pt>
                <c:pt idx="41">
                  <c:v>0.41787669877430456</c:v>
                </c:pt>
                <c:pt idx="42">
                  <c:v>0.4125598821709302</c:v>
                </c:pt>
                <c:pt idx="43">
                  <c:v>0.40729266656991836</c:v>
                </c:pt>
                <c:pt idx="44">
                  <c:v>0.40207505308592179</c:v>
                </c:pt>
                <c:pt idx="45">
                  <c:v>0.39690702962534574</c:v>
                </c:pt>
                <c:pt idx="46">
                  <c:v>0.39178857112513232</c:v>
                </c:pt>
                <c:pt idx="47">
                  <c:v>0.38671963979586449</c:v>
                </c:pt>
                <c:pt idx="48">
                  <c:v>0.38170018536885364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68032"/>
        <c:axId val="93954816"/>
      </c:lineChart>
      <c:catAx>
        <c:axId val="93868032"/>
        <c:scaling>
          <c:orientation val="minMax"/>
        </c:scaling>
        <c:delete val="0"/>
        <c:axPos val="b"/>
        <c:majorTickMark val="out"/>
        <c:minorTickMark val="none"/>
        <c:tickLblPos val="nextTo"/>
        <c:crossAx val="93954816"/>
        <c:crosses val="autoZero"/>
        <c:auto val="1"/>
        <c:lblAlgn val="ctr"/>
        <c:lblOffset val="100"/>
        <c:noMultiLvlLbl val="0"/>
      </c:catAx>
      <c:valAx>
        <c:axId val="9395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3868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409574</xdr:colOff>
      <xdr:row>1</xdr:row>
      <xdr:rowOff>47625</xdr:rowOff>
    </xdr:from>
    <xdr:to>
      <xdr:col>18</xdr:col>
      <xdr:colOff>9525</xdr:colOff>
      <xdr:row>10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409575</xdr:colOff>
      <xdr:row>11</xdr:row>
      <xdr:rowOff>57150</xdr:rowOff>
    </xdr:from>
    <xdr:to>
      <xdr:col>18</xdr:col>
      <xdr:colOff>9525</xdr:colOff>
      <xdr:row>21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171450</xdr:colOff>
      <xdr:row>23</xdr:row>
      <xdr:rowOff>180974</xdr:rowOff>
    </xdr:from>
    <xdr:to>
      <xdr:col>18</xdr:col>
      <xdr:colOff>514350</xdr:colOff>
      <xdr:row>39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514350</xdr:colOff>
      <xdr:row>26</xdr:row>
      <xdr:rowOff>38100</xdr:rowOff>
    </xdr:from>
    <xdr:to>
      <xdr:col>17</xdr:col>
      <xdr:colOff>142875</xdr:colOff>
      <xdr:row>35</xdr:row>
      <xdr:rowOff>180975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238125</xdr:colOff>
      <xdr:row>45</xdr:row>
      <xdr:rowOff>114300</xdr:rowOff>
    </xdr:from>
    <xdr:to>
      <xdr:col>18</xdr:col>
      <xdr:colOff>542925</xdr:colOff>
      <xdr:row>60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topLeftCell="A4" workbookViewId="0">
      <selection activeCell="B2" sqref="B2"/>
    </sheetView>
  </sheetViews>
  <sheetFormatPr defaultRowHeight="15" x14ac:dyDescent="0.25"/>
  <sheetData>
    <row r="1" spans="1:11" x14ac:dyDescent="0.25">
      <c r="A1" t="s">
        <v>0</v>
      </c>
      <c r="B1">
        <v>0.8</v>
      </c>
    </row>
    <row r="2" spans="1:11" x14ac:dyDescent="0.25">
      <c r="A2" t="s">
        <v>1</v>
      </c>
      <c r="B2">
        <v>1</v>
      </c>
      <c r="F2" t="s">
        <v>7</v>
      </c>
    </row>
    <row r="3" spans="1:11" x14ac:dyDescent="0.25">
      <c r="A3" t="s">
        <v>13</v>
      </c>
      <c r="D3">
        <v>0.01</v>
      </c>
      <c r="H3" t="s">
        <v>12</v>
      </c>
      <c r="K3" t="s">
        <v>6</v>
      </c>
    </row>
    <row r="4" spans="1:11" x14ac:dyDescent="0.25">
      <c r="B4" t="s">
        <v>9</v>
      </c>
      <c r="C4" t="s">
        <v>2</v>
      </c>
      <c r="D4" s="1" t="s">
        <v>8</v>
      </c>
      <c r="E4" t="s">
        <v>3</v>
      </c>
      <c r="F4" s="1" t="s">
        <v>5</v>
      </c>
      <c r="G4" t="s">
        <v>4</v>
      </c>
      <c r="H4" t="s">
        <v>10</v>
      </c>
      <c r="I4" t="s">
        <v>11</v>
      </c>
    </row>
    <row r="5" spans="1:11" x14ac:dyDescent="0.25">
      <c r="B5" s="2">
        <f t="shared" ref="B5:B16" si="0">B6-$D$3</f>
        <v>0.53666666666666585</v>
      </c>
      <c r="C5" s="2">
        <f t="shared" ref="C5:C16" si="1">C6+$D$3</f>
        <v>0.79666666666666608</v>
      </c>
      <c r="D5" s="1">
        <f>((B5^(1/($B$1-1))*$B$2)/(B5^($B$1/($B$1-1))+C5^($B$1/($B$1-1))))</f>
        <v>1.5451640583064097</v>
      </c>
      <c r="E5">
        <f>((C5^(1/($B$1-1))*$B$2)/(B5^($B$1/($B$1-1))+C5^($B$1/($B$1-1))))</f>
        <v>0.21434555068062106</v>
      </c>
      <c r="F5" s="1">
        <f t="shared" ref="F5:F17" si="2">(D5/(D5+E5))^2 + (D5/(D5+E5))</f>
        <v>1.6493768381333411</v>
      </c>
      <c r="G5" s="7">
        <f t="shared" ref="G5:G17" si="3">(E5/(D5+E5))^2 + (E5/(D5+E5))</f>
        <v>0.13666158971596457</v>
      </c>
      <c r="H5">
        <f t="shared" ref="H5:H16" si="4">F5-D5</f>
        <v>0.10421277982693145</v>
      </c>
      <c r="I5">
        <f t="shared" ref="I5:I16" si="5">G5-E5</f>
        <v>-7.768396096465649E-2</v>
      </c>
    </row>
    <row r="6" spans="1:11" x14ac:dyDescent="0.25">
      <c r="B6" s="2">
        <f t="shared" si="0"/>
        <v>0.54666666666666586</v>
      </c>
      <c r="C6" s="2">
        <f t="shared" si="1"/>
        <v>0.78666666666666607</v>
      </c>
      <c r="D6" s="1">
        <f>((B6^(1/($B$1-1))*$B$2)/(B6^($B$1/($B$1-1))+C6^($B$1/($B$1-1))))</f>
        <v>1.48335162279293</v>
      </c>
      <c r="E6">
        <f>((C6^(1/($B$1-1))*$B$2)/(B6^($B$1/($B$1-1))+C6^($B$1/($B$1-1))))</f>
        <v>0.24038277060152513</v>
      </c>
      <c r="F6" s="1">
        <f t="shared" si="2"/>
        <v>1.6010836587555159</v>
      </c>
      <c r="G6" s="7">
        <f t="shared" si="3"/>
        <v>0.15890224501265404</v>
      </c>
      <c r="H6">
        <f t="shared" si="4"/>
        <v>0.11773203596258597</v>
      </c>
      <c r="I6">
        <f t="shared" si="5"/>
        <v>-8.1480525588871089E-2</v>
      </c>
    </row>
    <row r="7" spans="1:11" x14ac:dyDescent="0.25">
      <c r="B7" s="2">
        <f t="shared" si="0"/>
        <v>0.55666666666666587</v>
      </c>
      <c r="C7" s="2">
        <f t="shared" si="1"/>
        <v>0.77666666666666606</v>
      </c>
      <c r="D7" s="1">
        <f>((B7^(1/($B$1-1))*$B$2)/(B7^($B$1/($B$1-1))+C7^($B$1/($B$1-1))))</f>
        <v>1.4213187423731228</v>
      </c>
      <c r="E7">
        <f>((C7^(1/($B$1-1))*$B$2)/(B7^($B$1/($B$1-1))+C7^($B$1/($B$1-1))))</f>
        <v>0.26884021469394381</v>
      </c>
      <c r="F7" s="1">
        <f t="shared" si="2"/>
        <v>1.5481144807749603</v>
      </c>
      <c r="G7" s="7">
        <f t="shared" si="3"/>
        <v>0.18436283734483547</v>
      </c>
      <c r="H7">
        <f t="shared" si="4"/>
        <v>0.12679573840183744</v>
      </c>
      <c r="I7">
        <f t="shared" si="5"/>
        <v>-8.4477377349108346E-2</v>
      </c>
    </row>
    <row r="8" spans="1:11" x14ac:dyDescent="0.25">
      <c r="B8" s="2">
        <f t="shared" si="0"/>
        <v>0.56666666666666587</v>
      </c>
      <c r="C8" s="2">
        <f t="shared" si="1"/>
        <v>0.76666666666666605</v>
      </c>
      <c r="D8" s="1">
        <f>((B8^(1/($B$1-1))*$B$2)/(B8^($B$1/($B$1-1))+C8^($B$1/($B$1-1))))</f>
        <v>1.3590773356144297</v>
      </c>
      <c r="E8">
        <f>((C8^(1/($B$1-1))*$B$2)/(B8^($B$1/($B$1-1))+C8^($B$1/($B$1-1))))</f>
        <v>0.29981240411107529</v>
      </c>
      <c r="F8" s="1">
        <f t="shared" si="2"/>
        <v>1.4904713265058902</v>
      </c>
      <c r="G8" s="7">
        <f t="shared" si="3"/>
        <v>0.21339436817997981</v>
      </c>
      <c r="H8">
        <f t="shared" si="4"/>
        <v>0.13139399089146053</v>
      </c>
      <c r="I8">
        <f t="shared" si="5"/>
        <v>-8.6418035931095483E-2</v>
      </c>
    </row>
    <row r="9" spans="1:11" x14ac:dyDescent="0.25">
      <c r="B9" s="2">
        <f t="shared" si="0"/>
        <v>0.57666666666666588</v>
      </c>
      <c r="C9" s="2">
        <f t="shared" si="1"/>
        <v>0.75666666666666604</v>
      </c>
      <c r="D9" s="1">
        <f>((B9^(1/($B$1-1))*$B$2)/(B9^($B$1/($B$1-1))+C9^($B$1/($B$1-1))))</f>
        <v>1.2966716080652279</v>
      </c>
      <c r="E9">
        <f>((C9^(1/($B$1-1))*$B$2)/(B9^($B$1/($B$1-1))+C9^($B$1/($B$1-1))))</f>
        <v>0.33337362028509215</v>
      </c>
      <c r="F9" s="1">
        <f t="shared" si="2"/>
        <v>1.4282735642043922</v>
      </c>
      <c r="G9" s="7">
        <f t="shared" si="3"/>
        <v>0.24634563849273919</v>
      </c>
      <c r="H9">
        <f t="shared" si="4"/>
        <v>0.13160195613916437</v>
      </c>
      <c r="I9">
        <f t="shared" si="5"/>
        <v>-8.7027981792352965E-2</v>
      </c>
    </row>
    <row r="10" spans="1:11" x14ac:dyDescent="0.25">
      <c r="B10" s="2">
        <f t="shared" si="0"/>
        <v>0.58666666666666589</v>
      </c>
      <c r="C10" s="2">
        <f t="shared" si="1"/>
        <v>0.74666666666666603</v>
      </c>
      <c r="D10" s="1">
        <f>((B10^(1/($B$1-1))*$B$2)/(B10^($B$1/($B$1-1))+C10^($B$1/($B$1-1))))</f>
        <v>1.2341786791906495</v>
      </c>
      <c r="E10">
        <f>((C10^(1/($B$1-1))*$B$2)/(B10^($B$1/($B$1-1))+C10^($B$1/($B$1-1))))</f>
        <v>0.36957389492163389</v>
      </c>
      <c r="F10" s="1">
        <f t="shared" si="2"/>
        <v>1.3617744371812019</v>
      </c>
      <c r="G10" s="7">
        <f t="shared" si="3"/>
        <v>0.28354728640316396</v>
      </c>
      <c r="H10">
        <f t="shared" si="4"/>
        <v>0.12759575799055245</v>
      </c>
      <c r="I10">
        <f t="shared" si="5"/>
        <v>-8.6026608518469938E-2</v>
      </c>
    </row>
    <row r="11" spans="1:11" x14ac:dyDescent="0.25">
      <c r="B11" s="2">
        <f t="shared" si="0"/>
        <v>0.5966666666666659</v>
      </c>
      <c r="C11" s="2">
        <f t="shared" si="1"/>
        <v>0.73666666666666603</v>
      </c>
      <c r="D11" s="1">
        <f>((B11^(1/($B$1-1))*$B$2)/(B11^($B$1/($B$1-1))+C11^($B$1/($B$1-1))))</f>
        <v>1.1717083322423485</v>
      </c>
      <c r="E11">
        <f>((C11^(1/($B$1-1))*$B$2)/(B11^($B$1/($B$1-1))+C11^($B$1/($B$1-1))))</f>
        <v>0.40843533270868765</v>
      </c>
      <c r="F11" s="1">
        <f t="shared" si="2"/>
        <v>1.2913722275211683</v>
      </c>
      <c r="G11" s="7">
        <f t="shared" si="3"/>
        <v>0.3252917166616543</v>
      </c>
      <c r="H11">
        <f t="shared" si="4"/>
        <v>0.11966389527881982</v>
      </c>
      <c r="I11">
        <f t="shared" si="5"/>
        <v>-8.3143616047033353E-2</v>
      </c>
    </row>
    <row r="12" spans="1:11" x14ac:dyDescent="0.25">
      <c r="B12" s="2">
        <f t="shared" si="0"/>
        <v>0.60666666666666591</v>
      </c>
      <c r="C12" s="2">
        <f t="shared" si="1"/>
        <v>0.72666666666666602</v>
      </c>
      <c r="D12" s="1">
        <f>((B12^(1/($B$1-1))*$B$2)/(B12^($B$1/($B$1-1))+C12^($B$1/($B$1-1))))</f>
        <v>1.1094017251249315</v>
      </c>
      <c r="E12">
        <f>((C12^(1/($B$1-1))*$B$2)/(B12^($B$1/($B$1-1))+C12^($B$1/($B$1-1))))</f>
        <v>0.44994901847368235</v>
      </c>
      <c r="F12" s="1">
        <f t="shared" si="2"/>
        <v>1.2176136485247238</v>
      </c>
      <c r="G12" s="7">
        <f t="shared" si="3"/>
        <v>0.37180944525819271</v>
      </c>
      <c r="H12">
        <f t="shared" si="4"/>
        <v>0.10821192339979224</v>
      </c>
      <c r="I12">
        <f t="shared" si="5"/>
        <v>-7.8139573215489644E-2</v>
      </c>
    </row>
    <row r="13" spans="1:11" x14ac:dyDescent="0.25">
      <c r="B13" s="2">
        <f t="shared" si="0"/>
        <v>0.61666666666666592</v>
      </c>
      <c r="C13" s="2">
        <f t="shared" si="1"/>
        <v>0.71666666666666601</v>
      </c>
      <c r="D13" s="1">
        <f>((B13^(1/($B$1-1))*$B$2)/(B13^($B$1/($B$1-1))+C13^($B$1/($B$1-1))))</f>
        <v>1.0474289484076462</v>
      </c>
      <c r="E13">
        <f>((C13^(1/($B$1-1))*$B$2)/(B13^($B$1/($B$1-1))+C13^($B$1/($B$1-1))))</f>
        <v>0.49407276532365502</v>
      </c>
      <c r="F13" s="1">
        <f t="shared" si="2"/>
        <v>1.1411874001067459</v>
      </c>
      <c r="G13" s="7">
        <f t="shared" si="3"/>
        <v>0.42324310182301839</v>
      </c>
      <c r="H13">
        <f t="shared" si="4"/>
        <v>9.3758451699099687E-2</v>
      </c>
      <c r="I13">
        <f t="shared" si="5"/>
        <v>-7.082966350063663E-2</v>
      </c>
    </row>
    <row r="14" spans="1:11" x14ac:dyDescent="0.25">
      <c r="B14" s="2">
        <f t="shared" si="0"/>
        <v>0.62666666666666593</v>
      </c>
      <c r="C14" s="2">
        <f t="shared" si="1"/>
        <v>0.706666666666666</v>
      </c>
      <c r="D14" s="1">
        <f>((B14^(1/($B$1-1))*$B$2)/(B14^($B$1/($B$1-1))+C14^($B$1/($B$1-1))))</f>
        <v>0.98598538414049908</v>
      </c>
      <c r="E14">
        <f>((C14^(1/($B$1-1))*$B$2)/(B14^($B$1/($B$1-1))+C14^($B$1/($B$1-1))))</f>
        <v>0.54072994236597427</v>
      </c>
      <c r="F14" s="1">
        <f t="shared" si="2"/>
        <v>1.0629066125132005</v>
      </c>
      <c r="G14" s="7">
        <f t="shared" si="3"/>
        <v>0.47962113152784014</v>
      </c>
      <c r="H14">
        <f t="shared" si="4"/>
        <v>7.6921228372701433E-2</v>
      </c>
      <c r="I14">
        <f t="shared" si="5"/>
        <v>-6.1108810838134131E-2</v>
      </c>
    </row>
    <row r="15" spans="1:11" x14ac:dyDescent="0.25">
      <c r="B15" s="2">
        <f t="shared" si="0"/>
        <v>0.63666666666666594</v>
      </c>
      <c r="C15" s="2">
        <f t="shared" si="1"/>
        <v>0.69666666666666599</v>
      </c>
      <c r="D15" s="1">
        <f>((B15^(1/($B$1-1))*$B$2)/(B15^($B$1/($B$1-1))+C15^($B$1/($B$1-1))))</f>
        <v>0.92528690231033728</v>
      </c>
      <c r="E15">
        <f>((C15^(1/($B$1-1))*$B$2)/(B15^($B$1/($B$1-1))+C15^($B$1/($B$1-1))))</f>
        <v>0.58980957731447792</v>
      </c>
      <c r="F15" s="1">
        <f t="shared" si="2"/>
        <v>0.98368012214225342</v>
      </c>
      <c r="G15" s="7">
        <f t="shared" si="3"/>
        <v>0.54083396744861445</v>
      </c>
      <c r="H15">
        <f t="shared" si="4"/>
        <v>5.8393219831916143E-2</v>
      </c>
      <c r="I15">
        <f t="shared" si="5"/>
        <v>-4.8975609865863468E-2</v>
      </c>
    </row>
    <row r="16" spans="1:11" x14ac:dyDescent="0.25">
      <c r="B16" s="2">
        <f t="shared" si="0"/>
        <v>0.64666666666666595</v>
      </c>
      <c r="C16" s="2">
        <f t="shared" si="1"/>
        <v>0.68666666666666598</v>
      </c>
      <c r="D16" s="1">
        <f>((B16^(1/($B$1-1))*$B$2)/(B16^($B$1/($B$1-1))+C16^($B$1/($B$1-1))))</f>
        <v>0.8655640237832688</v>
      </c>
      <c r="E16">
        <f>((C16^(1/($B$1-1))*$B$2)/(B16^($B$1/($B$1-1))+C16^($B$1/($B$1-1))))</f>
        <v>0.6411678610973115</v>
      </c>
      <c r="F16" s="1">
        <f t="shared" si="2"/>
        <v>0.90447402579930292</v>
      </c>
      <c r="G16" s="7">
        <f t="shared" si="3"/>
        <v>0.60661590659750164</v>
      </c>
      <c r="H16">
        <f t="shared" si="4"/>
        <v>3.8910002016034118E-2</v>
      </c>
      <c r="I16">
        <f t="shared" si="5"/>
        <v>-3.4551954499809856E-2</v>
      </c>
    </row>
    <row r="17" spans="2:9" x14ac:dyDescent="0.25">
      <c r="B17" s="2">
        <f>B18-$D$3</f>
        <v>0.65666666666666595</v>
      </c>
      <c r="C17" s="2">
        <f>C18+$D$3</f>
        <v>0.67666666666666597</v>
      </c>
      <c r="D17" s="1">
        <f>((B17^(1/($B$1-1))*$B$2)/(B17^($B$1/($B$1-1))+C17^($B$1/($B$1-1))))</f>
        <v>0.80705527002955713</v>
      </c>
      <c r="E17">
        <f>((C17^(1/($B$1-1))*$B$2)/(B17^($B$1/($B$1-1))+C17^($B$1/($B$1-1))))</f>
        <v>0.69463109263141654</v>
      </c>
      <c r="F17" s="1">
        <f t="shared" si="2"/>
        <v>0.82626648763949906</v>
      </c>
      <c r="G17" s="7">
        <f t="shared" si="3"/>
        <v>0.67653591780343025</v>
      </c>
      <c r="H17">
        <f>F17-D17</f>
        <v>1.9211217609941933E-2</v>
      </c>
      <c r="I17">
        <f>G17-E17</f>
        <v>-1.8095174827986282E-2</v>
      </c>
    </row>
    <row r="18" spans="2:9" x14ac:dyDescent="0.25">
      <c r="B18" s="2">
        <v>0.66666666666666596</v>
      </c>
      <c r="C18" s="2">
        <v>0.66666666666666596</v>
      </c>
      <c r="D18" s="1">
        <f>((B18^(1/($B$1-1))*$B$2)/(B18^($B$1/($B$1-1))+C18^($B$1/($B$1-1))))</f>
        <v>0.75000000000000067</v>
      </c>
      <c r="E18">
        <f>((C18^(1/($B$1-1))*$B$2)/(B18^($B$1/($B$1-1))+C18^($B$1/($B$1-1))))</f>
        <v>0.75000000000000067</v>
      </c>
      <c r="F18" s="1">
        <f>(D18/(D18+E18))^2 + (D18/(D18+E18))</f>
        <v>0.75</v>
      </c>
      <c r="G18" s="7">
        <f>(E18/(D18+E18))^2 + (E18/(D18+E18))</f>
        <v>0.75</v>
      </c>
      <c r="H18">
        <f t="shared" ref="H18:H34" si="6">F18-D18</f>
        <v>0</v>
      </c>
      <c r="I18">
        <f t="shared" ref="I18:I34" si="7">G18-E18</f>
        <v>0</v>
      </c>
    </row>
    <row r="19" spans="2:9" x14ac:dyDescent="0.25">
      <c r="B19" s="2">
        <f>B18+$D$3</f>
        <v>0.67666666666666597</v>
      </c>
      <c r="C19" s="2">
        <f>C18-$D$3</f>
        <v>0.65666666666666595</v>
      </c>
      <c r="D19" s="1">
        <f>((B19^(1/($B$1-1))*$B$2)/(B19^($B$1/($B$1-1))+C19^($B$1/($B$1-1))))</f>
        <v>0.69463109263141654</v>
      </c>
      <c r="E19">
        <f>((C19^(1/($B$1-1))*$B$2)/(B19^($B$1/($B$1-1))+C19^($B$1/($B$1-1))))</f>
        <v>0.80705527002955713</v>
      </c>
      <c r="F19" s="1">
        <f t="shared" ref="F19:F34" si="8">(D19/(D19+E19))^2 + (D19/(D19+E19))</f>
        <v>0.67653591780343025</v>
      </c>
      <c r="G19" s="7">
        <f t="shared" ref="G19:G34" si="9">(E19/(D19+E19))^2 + (E19/(D19+E19))</f>
        <v>0.82626648763949906</v>
      </c>
      <c r="H19">
        <f t="shared" si="6"/>
        <v>-1.8095174827986282E-2</v>
      </c>
      <c r="I19">
        <f t="shared" si="7"/>
        <v>1.9211217609941933E-2</v>
      </c>
    </row>
    <row r="20" spans="2:9" x14ac:dyDescent="0.25">
      <c r="B20" s="2">
        <f t="shared" ref="B20:B34" si="10">B19+$D$3</f>
        <v>0.68666666666666598</v>
      </c>
      <c r="C20" s="2">
        <f t="shared" ref="C20:C34" si="11">C19-$D$3</f>
        <v>0.64666666666666595</v>
      </c>
      <c r="D20" s="1">
        <f>((B20^(1/($B$1-1))*$B$2)/(B20^($B$1/($B$1-1))+C20^($B$1/($B$1-1))))</f>
        <v>0.6411678610973115</v>
      </c>
      <c r="E20">
        <f>((C20^(1/($B$1-1))*$B$2)/(B20^($B$1/($B$1-1))+C20^($B$1/($B$1-1))))</f>
        <v>0.8655640237832688</v>
      </c>
      <c r="F20" s="1">
        <f t="shared" si="8"/>
        <v>0.60661590659750164</v>
      </c>
      <c r="G20" s="7">
        <f t="shared" si="9"/>
        <v>0.90447402579930292</v>
      </c>
      <c r="H20">
        <f t="shared" si="6"/>
        <v>-3.4551954499809856E-2</v>
      </c>
      <c r="I20">
        <f t="shared" si="7"/>
        <v>3.8910002016034118E-2</v>
      </c>
    </row>
    <row r="21" spans="2:9" x14ac:dyDescent="0.25">
      <c r="B21" s="2">
        <f t="shared" si="10"/>
        <v>0.69666666666666599</v>
      </c>
      <c r="C21" s="2">
        <f t="shared" si="11"/>
        <v>0.63666666666666594</v>
      </c>
      <c r="D21" s="1">
        <f>((B21^(1/($B$1-1))*$B$2)/(B21^($B$1/($B$1-1))+C21^($B$1/($B$1-1))))</f>
        <v>0.58980957731447792</v>
      </c>
      <c r="E21">
        <f>((C21^(1/($B$1-1))*$B$2)/(B21^($B$1/($B$1-1))+C21^($B$1/($B$1-1))))</f>
        <v>0.92528690231033728</v>
      </c>
      <c r="F21" s="1">
        <f t="shared" si="8"/>
        <v>0.54083396744861445</v>
      </c>
      <c r="G21" s="7">
        <f t="shared" si="9"/>
        <v>0.98368012214225342</v>
      </c>
      <c r="H21">
        <f t="shared" si="6"/>
        <v>-4.8975609865863468E-2</v>
      </c>
      <c r="I21">
        <f t="shared" si="7"/>
        <v>5.8393219831916143E-2</v>
      </c>
    </row>
    <row r="22" spans="2:9" x14ac:dyDescent="0.25">
      <c r="B22" s="2">
        <f t="shared" si="10"/>
        <v>0.706666666666666</v>
      </c>
      <c r="C22" s="2">
        <f t="shared" si="11"/>
        <v>0.62666666666666593</v>
      </c>
      <c r="D22" s="1">
        <f>((B22^(1/($B$1-1))*$B$2)/(B22^($B$1/($B$1-1))+C22^($B$1/($B$1-1))))</f>
        <v>0.54072994236597427</v>
      </c>
      <c r="E22">
        <f>((C22^(1/($B$1-1))*$B$2)/(B22^($B$1/($B$1-1))+C22^($B$1/($B$1-1))))</f>
        <v>0.98598538414049908</v>
      </c>
      <c r="F22" s="1">
        <f t="shared" si="8"/>
        <v>0.47962113152784014</v>
      </c>
      <c r="G22" s="7">
        <f t="shared" si="9"/>
        <v>1.0629066125132005</v>
      </c>
      <c r="H22">
        <f t="shared" si="6"/>
        <v>-6.1108810838134131E-2</v>
      </c>
      <c r="I22">
        <f t="shared" si="7"/>
        <v>7.6921228372701433E-2</v>
      </c>
    </row>
    <row r="23" spans="2:9" x14ac:dyDescent="0.25">
      <c r="B23" s="2">
        <f t="shared" si="10"/>
        <v>0.71666666666666601</v>
      </c>
      <c r="C23" s="2">
        <f t="shared" si="11"/>
        <v>0.61666666666666592</v>
      </c>
      <c r="D23" s="1">
        <f>((B23^(1/($B$1-1))*$B$2)/(B23^($B$1/($B$1-1))+C23^($B$1/($B$1-1))))</f>
        <v>0.49407276532365502</v>
      </c>
      <c r="E23">
        <f>((C23^(1/($B$1-1))*$B$2)/(B23^($B$1/($B$1-1))+C23^($B$1/($B$1-1))))</f>
        <v>1.0474289484076462</v>
      </c>
      <c r="F23" s="1">
        <f t="shared" si="8"/>
        <v>0.42324310182301839</v>
      </c>
      <c r="G23" s="7">
        <f t="shared" si="9"/>
        <v>1.1411874001067459</v>
      </c>
      <c r="H23">
        <f t="shared" si="6"/>
        <v>-7.082966350063663E-2</v>
      </c>
      <c r="I23">
        <f t="shared" si="7"/>
        <v>9.3758451699099687E-2</v>
      </c>
    </row>
    <row r="24" spans="2:9" x14ac:dyDescent="0.25">
      <c r="B24" s="2">
        <f t="shared" si="10"/>
        <v>0.72666666666666602</v>
      </c>
      <c r="C24" s="2">
        <f t="shared" si="11"/>
        <v>0.60666666666666591</v>
      </c>
      <c r="D24" s="1">
        <f>((B24^(1/($B$1-1))*$B$2)/(B24^($B$1/($B$1-1))+C24^($B$1/($B$1-1))))</f>
        <v>0.44994901847368235</v>
      </c>
      <c r="E24">
        <f>((C24^(1/($B$1-1))*$B$2)/(B24^($B$1/($B$1-1))+C24^($B$1/($B$1-1))))</f>
        <v>1.1094017251249315</v>
      </c>
      <c r="F24" s="1">
        <f t="shared" si="8"/>
        <v>0.37180944525819271</v>
      </c>
      <c r="G24" s="7">
        <f t="shared" si="9"/>
        <v>1.2176136485247238</v>
      </c>
      <c r="H24">
        <f t="shared" si="6"/>
        <v>-7.8139573215489644E-2</v>
      </c>
      <c r="I24">
        <f t="shared" si="7"/>
        <v>0.10821192339979224</v>
      </c>
    </row>
    <row r="25" spans="2:9" x14ac:dyDescent="0.25">
      <c r="B25" s="2">
        <f t="shared" si="10"/>
        <v>0.73666666666666603</v>
      </c>
      <c r="C25" s="2">
        <f t="shared" si="11"/>
        <v>0.5966666666666659</v>
      </c>
      <c r="D25" s="1">
        <f>((B25^(1/($B$1-1))*$B$2)/(B25^($B$1/($B$1-1))+C25^($B$1/($B$1-1))))</f>
        <v>0.40843533270868765</v>
      </c>
      <c r="E25">
        <f>((C25^(1/($B$1-1))*$B$2)/(B25^($B$1/($B$1-1))+C25^($B$1/($B$1-1))))</f>
        <v>1.1717083322423485</v>
      </c>
      <c r="F25" s="1">
        <f t="shared" si="8"/>
        <v>0.3252917166616543</v>
      </c>
      <c r="G25" s="7">
        <f t="shared" si="9"/>
        <v>1.2913722275211683</v>
      </c>
      <c r="H25">
        <f t="shared" si="6"/>
        <v>-8.3143616047033353E-2</v>
      </c>
      <c r="I25">
        <f t="shared" si="7"/>
        <v>0.11966389527881982</v>
      </c>
    </row>
    <row r="26" spans="2:9" x14ac:dyDescent="0.25">
      <c r="B26" s="2">
        <f t="shared" si="10"/>
        <v>0.74666666666666603</v>
      </c>
      <c r="C26" s="2">
        <f t="shared" si="11"/>
        <v>0.58666666666666589</v>
      </c>
      <c r="D26" s="1">
        <f>((B26^(1/($B$1-1))*$B$2)/(B26^($B$1/($B$1-1))+C26^($B$1/($B$1-1))))</f>
        <v>0.36957389492163389</v>
      </c>
      <c r="E26">
        <f>((C26^(1/($B$1-1))*$B$2)/(B26^($B$1/($B$1-1))+C26^($B$1/($B$1-1))))</f>
        <v>1.2341786791906495</v>
      </c>
      <c r="F26" s="1">
        <f t="shared" si="8"/>
        <v>0.28354728640316396</v>
      </c>
      <c r="G26" s="7">
        <f t="shared" si="9"/>
        <v>1.3617744371812019</v>
      </c>
      <c r="H26">
        <f t="shared" si="6"/>
        <v>-8.6026608518469938E-2</v>
      </c>
      <c r="I26">
        <f t="shared" si="7"/>
        <v>0.12759575799055245</v>
      </c>
    </row>
    <row r="27" spans="2:9" x14ac:dyDescent="0.25">
      <c r="B27" s="2">
        <f t="shared" si="10"/>
        <v>0.75666666666666604</v>
      </c>
      <c r="C27" s="2">
        <f t="shared" si="11"/>
        <v>0.57666666666666588</v>
      </c>
      <c r="D27" s="1">
        <f>((B27^(1/($B$1-1))*$B$2)/(B27^($B$1/($B$1-1))+C27^($B$1/($B$1-1))))</f>
        <v>0.33337362028509215</v>
      </c>
      <c r="E27">
        <f>((C27^(1/($B$1-1))*$B$2)/(B27^($B$1/($B$1-1))+C27^($B$1/($B$1-1))))</f>
        <v>1.2966716080652279</v>
      </c>
      <c r="F27" s="1">
        <f t="shared" si="8"/>
        <v>0.24634563849273919</v>
      </c>
      <c r="G27" s="7">
        <f t="shared" si="9"/>
        <v>1.4282735642043922</v>
      </c>
      <c r="H27">
        <f t="shared" si="6"/>
        <v>-8.7027981792352965E-2</v>
      </c>
      <c r="I27">
        <f t="shared" si="7"/>
        <v>0.13160195613916437</v>
      </c>
    </row>
    <row r="28" spans="2:9" x14ac:dyDescent="0.25">
      <c r="B28" s="2">
        <f t="shared" si="10"/>
        <v>0.76666666666666605</v>
      </c>
      <c r="C28" s="2">
        <f t="shared" si="11"/>
        <v>0.56666666666666587</v>
      </c>
      <c r="D28" s="1">
        <f>((B28^(1/($B$1-1))*$B$2)/(B28^($B$1/($B$1-1))+C28^($B$1/($B$1-1))))</f>
        <v>0.29981240411107529</v>
      </c>
      <c r="E28">
        <f>((C28^(1/($B$1-1))*$B$2)/(B28^($B$1/($B$1-1))+C28^($B$1/($B$1-1))))</f>
        <v>1.3590773356144297</v>
      </c>
      <c r="F28" s="1">
        <f t="shared" si="8"/>
        <v>0.21339436817997981</v>
      </c>
      <c r="G28" s="7">
        <f t="shared" si="9"/>
        <v>1.4904713265058902</v>
      </c>
      <c r="H28">
        <f t="shared" si="6"/>
        <v>-8.6418035931095483E-2</v>
      </c>
      <c r="I28">
        <f t="shared" si="7"/>
        <v>0.13139399089146053</v>
      </c>
    </row>
    <row r="29" spans="2:9" x14ac:dyDescent="0.25">
      <c r="B29" s="2">
        <f t="shared" si="10"/>
        <v>0.77666666666666606</v>
      </c>
      <c r="C29" s="2">
        <f t="shared" si="11"/>
        <v>0.55666666666666587</v>
      </c>
      <c r="D29" s="1">
        <f>((B29^(1/($B$1-1))*$B$2)/(B29^($B$1/($B$1-1))+C29^($B$1/($B$1-1))))</f>
        <v>0.26884021469394381</v>
      </c>
      <c r="E29">
        <f>((C29^(1/($B$1-1))*$B$2)/(B29^($B$1/($B$1-1))+C29^($B$1/($B$1-1))))</f>
        <v>1.4213187423731228</v>
      </c>
      <c r="F29" s="1">
        <f t="shared" si="8"/>
        <v>0.18436283734483547</v>
      </c>
      <c r="G29" s="7">
        <f t="shared" si="9"/>
        <v>1.5481144807749603</v>
      </c>
      <c r="H29">
        <f t="shared" si="6"/>
        <v>-8.4477377349108346E-2</v>
      </c>
      <c r="I29">
        <f t="shared" si="7"/>
        <v>0.12679573840183744</v>
      </c>
    </row>
    <row r="30" spans="2:9" x14ac:dyDescent="0.25">
      <c r="B30" s="2">
        <f t="shared" si="10"/>
        <v>0.78666666666666607</v>
      </c>
      <c r="C30" s="2">
        <f t="shared" si="11"/>
        <v>0.54666666666666586</v>
      </c>
      <c r="D30" s="1">
        <f>((B30^(1/($B$1-1))*$B$2)/(B30^($B$1/($B$1-1))+C30^($B$1/($B$1-1))))</f>
        <v>0.24038277060152513</v>
      </c>
      <c r="E30">
        <f>((C30^(1/($B$1-1))*$B$2)/(B30^($B$1/($B$1-1))+C30^($B$1/($B$1-1))))</f>
        <v>1.48335162279293</v>
      </c>
      <c r="F30" s="1">
        <f t="shared" si="8"/>
        <v>0.15890224501265404</v>
      </c>
      <c r="G30" s="7">
        <f t="shared" si="9"/>
        <v>1.6010836587555159</v>
      </c>
      <c r="H30">
        <f t="shared" si="6"/>
        <v>-8.1480525588871089E-2</v>
      </c>
      <c r="I30">
        <f t="shared" si="7"/>
        <v>0.11773203596258597</v>
      </c>
    </row>
    <row r="31" spans="2:9" x14ac:dyDescent="0.25">
      <c r="B31" s="2">
        <f t="shared" si="10"/>
        <v>0.79666666666666608</v>
      </c>
      <c r="C31" s="2">
        <f t="shared" si="11"/>
        <v>0.53666666666666585</v>
      </c>
      <c r="D31" s="1">
        <f>((B31^(1/($B$1-1))*$B$2)/(B31^($B$1/($B$1-1))+C31^($B$1/($B$1-1))))</f>
        <v>0.21434555068062106</v>
      </c>
      <c r="E31">
        <f>((C31^(1/($B$1-1))*$B$2)/(B31^($B$1/($B$1-1))+C31^($B$1/($B$1-1))))</f>
        <v>1.5451640583064097</v>
      </c>
      <c r="F31" s="1">
        <f t="shared" si="8"/>
        <v>0.13666158971596457</v>
      </c>
      <c r="G31" s="7">
        <f t="shared" si="9"/>
        <v>1.6493768381333411</v>
      </c>
      <c r="H31">
        <f t="shared" si="6"/>
        <v>-7.768396096465649E-2</v>
      </c>
      <c r="I31">
        <f t="shared" si="7"/>
        <v>0.10421277982693145</v>
      </c>
    </row>
    <row r="32" spans="2:9" x14ac:dyDescent="0.25">
      <c r="B32" s="2">
        <f t="shared" si="10"/>
        <v>0.80666666666666609</v>
      </c>
      <c r="C32" s="2">
        <f t="shared" si="11"/>
        <v>0.52666666666666584</v>
      </c>
      <c r="D32" s="1">
        <f>((B32^(1/($B$1-1))*$B$2)/(B32^($B$1/($B$1-1))+C32^($B$1/($B$1-1))))</f>
        <v>0.19061790786606747</v>
      </c>
      <c r="E32">
        <f>((C32^(1/($B$1-1))*$B$2)/(B32^($B$1/($B$1-1))+C32^($B$1/($B$1-1))))</f>
        <v>1.6067751031418487</v>
      </c>
      <c r="F32" s="1">
        <f t="shared" si="8"/>
        <v>0.11729955558568514</v>
      </c>
      <c r="G32" s="7">
        <f t="shared" si="9"/>
        <v>1.6930898102519687</v>
      </c>
      <c r="H32">
        <f t="shared" si="6"/>
        <v>-7.3318352280382332E-2</v>
      </c>
      <c r="I32">
        <f t="shared" si="7"/>
        <v>8.6314707110120015E-2</v>
      </c>
    </row>
    <row r="33" spans="1:11" x14ac:dyDescent="0.25">
      <c r="B33" s="2">
        <f t="shared" si="10"/>
        <v>0.8166666666666661</v>
      </c>
      <c r="C33" s="2">
        <f t="shared" si="11"/>
        <v>0.51666666666666583</v>
      </c>
      <c r="D33" s="1">
        <f>((B33^(1/($B$1-1))*$B$2)/(B33^($B$1/($B$1-1))+C33^($B$1/($B$1-1))))</f>
        <v>0.16907709300125257</v>
      </c>
      <c r="E33">
        <f>((C33^(1/($B$1-1))*$B$2)/(B33^($B$1/($B$1-1))+C33^($B$1/($B$1-1))))</f>
        <v>1.6682329820302815</v>
      </c>
      <c r="F33" s="1">
        <f t="shared" si="8"/>
        <v>0.10049271988902028</v>
      </c>
      <c r="G33" s="7">
        <f t="shared" si="9"/>
        <v>1.7323956952246329</v>
      </c>
      <c r="H33">
        <f t="shared" si="6"/>
        <v>-6.8584373112232283E-2</v>
      </c>
      <c r="I33">
        <f t="shared" si="7"/>
        <v>6.4162713194351406E-2</v>
      </c>
    </row>
    <row r="34" spans="1:11" x14ac:dyDescent="0.25">
      <c r="B34" s="2">
        <f t="shared" si="10"/>
        <v>0.82666666666666611</v>
      </c>
      <c r="C34" s="2">
        <f t="shared" si="11"/>
        <v>0.50666666666666582</v>
      </c>
      <c r="D34" s="1">
        <f>((B34^(1/($B$1-1))*$B$2)/(B34^($B$1/($B$1-1))+C34^($B$1/($B$1-1))))</f>
        <v>0.14959203653654099</v>
      </c>
      <c r="E34">
        <f>((C34^(1/($B$1-1))*$B$2)/(B34^($B$1/($B$1-1))+C34^($B$1/($B$1-1))))</f>
        <v>1.7296129930193314</v>
      </c>
      <c r="F34" s="1">
        <f t="shared" si="8"/>
        <v>8.5940673051380576E-2</v>
      </c>
      <c r="G34" s="7">
        <f t="shared" si="9"/>
        <v>1.7675251001175527</v>
      </c>
      <c r="H34">
        <f t="shared" si="6"/>
        <v>-6.3651363485160414E-2</v>
      </c>
      <c r="I34">
        <f t="shared" si="7"/>
        <v>3.7912107098221348E-2</v>
      </c>
    </row>
    <row r="35" spans="1:11" x14ac:dyDescent="0.25">
      <c r="B35" s="2" t="s">
        <v>20</v>
      </c>
      <c r="C35" s="2"/>
      <c r="D35" s="3"/>
      <c r="F35" s="3"/>
      <c r="G35" s="3"/>
    </row>
    <row r="36" spans="1:11" x14ac:dyDescent="0.25">
      <c r="B36" s="2">
        <v>0.9</v>
      </c>
      <c r="C36" s="2">
        <v>0.52</v>
      </c>
      <c r="D36" s="1">
        <f>((B36^(1/($B$1-1))*$B$2)/(B36^($B$1/($B$1-1))+C36^($B$1/($B$1-1))))</f>
        <v>0.11140753899060295</v>
      </c>
      <c r="E36">
        <f>((C36^(1/($B$1-1))*$B$2)/(B36^($B$1/($B$1-1))+C36^($B$1/($B$1-1))))</f>
        <v>1.7302561825162646</v>
      </c>
      <c r="F36" s="1">
        <f>(D36/(D36+E36))^2 + (D36/(D36+E36))</f>
        <v>6.4152266391262536E-2</v>
      </c>
      <c r="G36" s="7">
        <f>(E36/(D36+E36))^2 + (E36/(D36+E36))</f>
        <v>1.8221807540253714</v>
      </c>
      <c r="H36">
        <f t="shared" ref="H36" si="12">F36-D36</f>
        <v>-4.7255272599340412E-2</v>
      </c>
      <c r="I36">
        <f t="shared" ref="I36" si="13">G36-E36</f>
        <v>9.1924571509106823E-2</v>
      </c>
    </row>
    <row r="37" spans="1:11" x14ac:dyDescent="0.25">
      <c r="B37" s="2"/>
      <c r="C37" s="2"/>
      <c r="D37" s="3"/>
      <c r="F37" s="3"/>
      <c r="G37" s="3"/>
    </row>
    <row r="38" spans="1:11" x14ac:dyDescent="0.25">
      <c r="B38" s="2"/>
      <c r="C38" s="2"/>
      <c r="D38" s="3"/>
      <c r="F38" s="3"/>
      <c r="G38" s="3"/>
    </row>
    <row r="40" spans="1:11" x14ac:dyDescent="0.25">
      <c r="A40" t="s">
        <v>19</v>
      </c>
    </row>
    <row r="41" spans="1:11" x14ac:dyDescent="0.25">
      <c r="A41" t="s">
        <v>14</v>
      </c>
      <c r="D41" t="s">
        <v>15</v>
      </c>
    </row>
    <row r="42" spans="1:11" x14ac:dyDescent="0.25">
      <c r="A42">
        <v>1E-3</v>
      </c>
      <c r="J42" t="s">
        <v>18</v>
      </c>
    </row>
    <row r="43" spans="1:11" x14ac:dyDescent="0.25">
      <c r="B43" s="4" t="s">
        <v>9</v>
      </c>
      <c r="C43" s="4" t="s">
        <v>2</v>
      </c>
      <c r="D43" s="5" t="s">
        <v>8</v>
      </c>
      <c r="E43" s="4" t="s">
        <v>3</v>
      </c>
      <c r="F43" s="5" t="s">
        <v>5</v>
      </c>
      <c r="G43" s="4" t="s">
        <v>4</v>
      </c>
      <c r="H43" s="4" t="s">
        <v>10</v>
      </c>
      <c r="I43" s="4" t="s">
        <v>11</v>
      </c>
      <c r="J43" s="6" t="s">
        <v>16</v>
      </c>
      <c r="K43" s="6" t="s">
        <v>17</v>
      </c>
    </row>
    <row r="44" spans="1:11" x14ac:dyDescent="0.25">
      <c r="B44" s="2">
        <v>0.65666666666666595</v>
      </c>
      <c r="C44" s="2">
        <v>0.67666666666666597</v>
      </c>
      <c r="D44" s="1">
        <f>((B44^(1/($B$1-1))*$B$2)/(B44^($B$1/($B$1-1))+C44^($B$1/($B$1-1))))</f>
        <v>0.80705527002955713</v>
      </c>
      <c r="E44">
        <f>((C44^(1/($B$1-1))*$B$2)/(B44^($B$1/($B$1-1))+C44^($B$1/($B$1-1))))</f>
        <v>0.69463109263141654</v>
      </c>
      <c r="F44" s="1">
        <f t="shared" ref="F44" si="14">(D44/(D44+E44))^2 + (D44/(D44+E44))</f>
        <v>0.82626648763949906</v>
      </c>
      <c r="G44" s="1">
        <f t="shared" ref="G44" si="15">(E44/(D44+E44))^2 + (E44/(D44+E44))</f>
        <v>0.67653591780343025</v>
      </c>
      <c r="H44">
        <f>F44-D44</f>
        <v>1.9211217609941933E-2</v>
      </c>
      <c r="I44">
        <f>G44-E44</f>
        <v>-1.8095174827986282E-2</v>
      </c>
      <c r="J44">
        <f>IF(H44&gt;0,1,0)</f>
        <v>1</v>
      </c>
      <c r="K44">
        <f>IF(I44&gt;0,1,0)</f>
        <v>0</v>
      </c>
    </row>
    <row r="45" spans="1:11" x14ac:dyDescent="0.25">
      <c r="B45" s="3">
        <f>IF(J44=1,B44-$A$42,B44+$A$42)</f>
        <v>0.65566666666666595</v>
      </c>
      <c r="C45" s="3">
        <f>IF(K44=1,C44-$A$42,C44+$A$42)</f>
        <v>0.67766666666666597</v>
      </c>
      <c r="D45" s="1">
        <f>((B45^(1/($B$1-1))*$B$2)/(B45^($B$1/($B$1-1))+C45^($B$1/($B$1-1))))</f>
        <v>0.81284466126670996</v>
      </c>
      <c r="E45">
        <f>((C45^(1/($B$1-1))*$B$2)/(B45^($B$1/($B$1-1))+C45^($B$1/($B$1-1))))</f>
        <v>0.68919554908430147</v>
      </c>
      <c r="F45" s="1">
        <f t="shared" ref="F45:F46" si="16">(D45/(D45+E45))^2 + (D45/(D45+E45))</f>
        <v>0.83401495110252855</v>
      </c>
      <c r="G45" s="1">
        <f t="shared" ref="G45:G46" si="17">(E45/(D45+E45))^2 + (E45/(D45+E45))</f>
        <v>0.66937340378534604</v>
      </c>
      <c r="H45">
        <f>F45-D45</f>
        <v>2.117028983581859E-2</v>
      </c>
      <c r="I45">
        <f>G45-E45</f>
        <v>-1.9822145298955429E-2</v>
      </c>
      <c r="J45">
        <f>IF(H45&gt;0,1,0)</f>
        <v>1</v>
      </c>
      <c r="K45">
        <f>IF(I45&gt;0,1,0)</f>
        <v>0</v>
      </c>
    </row>
    <row r="46" spans="1:11" x14ac:dyDescent="0.25">
      <c r="A46" s="2"/>
      <c r="B46" s="3">
        <f>IF(J45=1,B45-$A$42,B45+$A$42)</f>
        <v>0.65466666666666595</v>
      </c>
      <c r="C46" s="3">
        <f>IF(K45=1,C45-$A$42,C45+$A$42)</f>
        <v>0.67866666666666597</v>
      </c>
      <c r="D46" s="1">
        <f t="shared" ref="D46:D57" si="18">((B46^(1/($B$1-1))*$B$2)/(B46^($B$1/($B$1-1))+C46^($B$1/($B$1-1))))</f>
        <v>0.81864835446293927</v>
      </c>
      <c r="E46">
        <f t="shared" ref="E46:E57" si="19">((C46^(1/($B$1-1))*$B$2)/(B46^($B$1/($B$1-1))+C46^($B$1/($B$1-1))))</f>
        <v>0.68377928872042726</v>
      </c>
      <c r="F46" s="1">
        <f t="shared" ref="F46:F57" si="20">(D46/(D46+E46))^2 + (D46/(D46+E46))</f>
        <v>0.84178197610084449</v>
      </c>
      <c r="G46" s="1">
        <f t="shared" ref="G46:G57" si="21">(E46/(D46+E46))^2 + (E46/(D46+E46))</f>
        <v>0.66224711949137816</v>
      </c>
      <c r="H46">
        <f t="shared" ref="H46:H57" si="22">F46-D46</f>
        <v>2.3133621637905222E-2</v>
      </c>
      <c r="I46">
        <f t="shared" ref="I46:I57" si="23">G46-E46</f>
        <v>-2.1532169229049103E-2</v>
      </c>
      <c r="J46">
        <f t="shared" ref="J46:J57" si="24">IF(H46&gt;0,1,0)</f>
        <v>1</v>
      </c>
      <c r="K46">
        <f t="shared" ref="K46:K57" si="25">IF(I46&gt;0,1,0)</f>
        <v>0</v>
      </c>
    </row>
    <row r="47" spans="1:11" x14ac:dyDescent="0.25">
      <c r="A47" s="2"/>
      <c r="B47" s="3">
        <f>IF(J46=1,B46-$A$42,B46+$A$42)</f>
        <v>0.65366666666666595</v>
      </c>
      <c r="C47" s="3">
        <f>IF(K46=1,C46-$A$42,C46+$A$42)</f>
        <v>0.67966666666666598</v>
      </c>
      <c r="D47" s="1">
        <f t="shared" si="18"/>
        <v>0.82446611079008725</v>
      </c>
      <c r="E47">
        <f t="shared" si="19"/>
        <v>0.67838251924504267</v>
      </c>
      <c r="F47" s="1">
        <f t="shared" si="20"/>
        <v>0.84956663815697531</v>
      </c>
      <c r="G47" s="1">
        <f t="shared" si="21"/>
        <v>0.65515771549437851</v>
      </c>
      <c r="H47">
        <f t="shared" si="22"/>
        <v>2.5100527366888059E-2</v>
      </c>
      <c r="I47">
        <f t="shared" si="23"/>
        <v>-2.3224803750664158E-2</v>
      </c>
      <c r="J47">
        <f t="shared" si="24"/>
        <v>1</v>
      </c>
      <c r="K47">
        <f t="shared" si="25"/>
        <v>0</v>
      </c>
    </row>
    <row r="48" spans="1:11" x14ac:dyDescent="0.25">
      <c r="A48" s="2"/>
      <c r="B48" s="3">
        <f>IF(J47=1,B47-$A$42,B47+$A$42)</f>
        <v>0.65266666666666595</v>
      </c>
      <c r="C48" s="3">
        <f>IF(K47=1,C47-$A$42,C47+$A$42)</f>
        <v>0.68066666666666598</v>
      </c>
      <c r="D48" s="1">
        <f t="shared" si="18"/>
        <v>0.83029769091519645</v>
      </c>
      <c r="E48">
        <f t="shared" si="19"/>
        <v>0.67300544622333425</v>
      </c>
      <c r="F48" s="1">
        <f t="shared" si="20"/>
        <v>0.85736800544549141</v>
      </c>
      <c r="G48" s="1">
        <f t="shared" si="21"/>
        <v>0.64810582697194563</v>
      </c>
      <c r="H48">
        <f t="shared" si="22"/>
        <v>2.7070314530294959E-2</v>
      </c>
      <c r="I48">
        <f t="shared" si="23"/>
        <v>-2.4899619251388616E-2</v>
      </c>
      <c r="J48">
        <f t="shared" si="24"/>
        <v>1</v>
      </c>
      <c r="K48">
        <f t="shared" si="25"/>
        <v>0</v>
      </c>
    </row>
    <row r="49" spans="1:11" x14ac:dyDescent="0.25">
      <c r="A49" s="2"/>
      <c r="B49" s="3">
        <f>IF(J48=1,B48-$A$42,B48+$A$42)</f>
        <v>0.65166666666666595</v>
      </c>
      <c r="C49" s="3">
        <f>IF(K48=1,C48-$A$42,C48+$A$42)</f>
        <v>0.68166666666666598</v>
      </c>
      <c r="D49" s="1">
        <f t="shared" si="18"/>
        <v>0.83614285507428543</v>
      </c>
      <c r="E49">
        <f t="shared" si="19"/>
        <v>0.66764827302189511</v>
      </c>
      <c r="F49" s="1">
        <f t="shared" si="20"/>
        <v>0.86518513924400442</v>
      </c>
      <c r="G49" s="1">
        <f t="shared" si="21"/>
        <v>0.64109207351923636</v>
      </c>
      <c r="H49">
        <f t="shared" si="22"/>
        <v>2.904228416971899E-2</v>
      </c>
      <c r="I49">
        <f t="shared" si="23"/>
        <v>-2.6556199502658751E-2</v>
      </c>
      <c r="J49">
        <f t="shared" si="24"/>
        <v>1</v>
      </c>
      <c r="K49">
        <f t="shared" si="25"/>
        <v>0</v>
      </c>
    </row>
    <row r="50" spans="1:11" x14ac:dyDescent="0.25">
      <c r="A50" s="2"/>
      <c r="B50" s="3">
        <f>IF(J49=1,B49-$A$42,B49+$A$42)</f>
        <v>0.65066666666666595</v>
      </c>
      <c r="C50" s="3">
        <f>IF(K49=1,C49-$A$42,C49+$A$42)</f>
        <v>0.68266666666666598</v>
      </c>
      <c r="D50" s="1">
        <f t="shared" si="18"/>
        <v>0.84200136314623808</v>
      </c>
      <c r="E50">
        <f t="shared" si="19"/>
        <v>0.66231120075124328</v>
      </c>
      <c r="F50" s="1">
        <f t="shared" si="20"/>
        <v>0.87301709438995789</v>
      </c>
      <c r="G50" s="1">
        <f t="shared" si="21"/>
        <v>0.63411705897518944</v>
      </c>
      <c r="H50">
        <f t="shared" si="22"/>
        <v>3.1015731243719813E-2</v>
      </c>
      <c r="I50">
        <f t="shared" si="23"/>
        <v>-2.8194141776053838E-2</v>
      </c>
      <c r="J50">
        <f t="shared" si="24"/>
        <v>1</v>
      </c>
      <c r="K50">
        <f t="shared" si="25"/>
        <v>0</v>
      </c>
    </row>
    <row r="51" spans="1:11" x14ac:dyDescent="0.25">
      <c r="A51" s="2"/>
      <c r="B51" s="3">
        <f>IF(J50=1,B50-$A$42,B50+$A$42)</f>
        <v>0.64966666666666595</v>
      </c>
      <c r="C51" s="3">
        <f>IF(K50=1,C50-$A$42,C50+$A$42)</f>
        <v>0.68366666666666598</v>
      </c>
      <c r="D51" s="1">
        <f t="shared" si="18"/>
        <v>0.84787297472676804</v>
      </c>
      <c r="E51">
        <f t="shared" si="19"/>
        <v>0.65699442820942577</v>
      </c>
      <c r="F51" s="1">
        <f t="shared" si="20"/>
        <v>0.88086291974271735</v>
      </c>
      <c r="G51" s="1">
        <f t="shared" si="21"/>
        <v>0.62718137126221585</v>
      </c>
      <c r="H51">
        <f t="shared" si="22"/>
        <v>3.2989945015949318E-2</v>
      </c>
      <c r="I51">
        <f t="shared" si="23"/>
        <v>-2.9813056947209926E-2</v>
      </c>
      <c r="J51">
        <f t="shared" si="24"/>
        <v>1</v>
      </c>
      <c r="K51">
        <f t="shared" si="25"/>
        <v>0</v>
      </c>
    </row>
    <row r="52" spans="1:11" x14ac:dyDescent="0.25">
      <c r="A52" s="2"/>
      <c r="B52" s="3">
        <f>IF(J51=1,B51-$A$42,B51+$A$42)</f>
        <v>0.64866666666666595</v>
      </c>
      <c r="C52" s="3">
        <f>IF(K51=1,C51-$A$42,C51+$A$42)</f>
        <v>0.68466666666666598</v>
      </c>
      <c r="D52" s="1">
        <f t="shared" si="18"/>
        <v>0.85375744920241448</v>
      </c>
      <c r="E52">
        <f t="shared" si="19"/>
        <v>0.65169815182673052</v>
      </c>
      <c r="F52" s="1">
        <f t="shared" si="20"/>
        <v>0.88872165865048292</v>
      </c>
      <c r="G52" s="1">
        <f t="shared" si="21"/>
        <v>0.62028558223938979</v>
      </c>
      <c r="H52">
        <f t="shared" si="22"/>
        <v>3.496420944806844E-2</v>
      </c>
      <c r="I52">
        <f t="shared" si="23"/>
        <v>-3.1412569587340733E-2</v>
      </c>
      <c r="J52">
        <f t="shared" si="24"/>
        <v>1</v>
      </c>
      <c r="K52">
        <f t="shared" si="25"/>
        <v>0</v>
      </c>
    </row>
    <row r="53" spans="1:11" x14ac:dyDescent="0.25">
      <c r="A53" s="2"/>
      <c r="B53" s="3">
        <f>IF(J52=1,B52-$A$42,B52+$A$42)</f>
        <v>0.64766666666666595</v>
      </c>
      <c r="C53" s="3">
        <f>IF(K52=1,C52-$A$42,C52+$A$42)</f>
        <v>0.68566666666666598</v>
      </c>
      <c r="D53" s="1">
        <f t="shared" si="18"/>
        <v>0.85965454582453804</v>
      </c>
      <c r="E53">
        <f t="shared" si="19"/>
        <v>0.64642256561153388</v>
      </c>
      <c r="F53" s="1">
        <f t="shared" si="20"/>
        <v>0.89659234942153432</v>
      </c>
      <c r="G53" s="1">
        <f t="shared" si="21"/>
        <v>0.61343024756914832</v>
      </c>
      <c r="H53">
        <f t="shared" si="22"/>
        <v>3.6937803596996277E-2</v>
      </c>
      <c r="I53">
        <f t="shared" si="23"/>
        <v>-3.299231804238556E-2</v>
      </c>
      <c r="J53">
        <f t="shared" si="24"/>
        <v>1</v>
      </c>
      <c r="K53">
        <f t="shared" si="25"/>
        <v>0</v>
      </c>
    </row>
    <row r="54" spans="1:11" x14ac:dyDescent="0.25">
      <c r="A54" s="2"/>
      <c r="B54" s="3">
        <f>IF(J53=1,B53-$A$42,B53+$A$42)</f>
        <v>0.64666666666666595</v>
      </c>
      <c r="C54" s="3">
        <f>IF(K53=1,C53-$A$42,C53+$A$42)</f>
        <v>0.68666666666666598</v>
      </c>
      <c r="D54" s="1">
        <f t="shared" si="18"/>
        <v>0.8655640237832688</v>
      </c>
      <c r="E54">
        <f t="shared" si="19"/>
        <v>0.6411678610973115</v>
      </c>
      <c r="F54" s="1">
        <f t="shared" si="20"/>
        <v>0.90447402579930292</v>
      </c>
      <c r="G54" s="1">
        <f t="shared" si="21"/>
        <v>0.60661590659750164</v>
      </c>
      <c r="H54">
        <f t="shared" si="22"/>
        <v>3.8910002016034118E-2</v>
      </c>
      <c r="I54">
        <f t="shared" si="23"/>
        <v>-3.4551954499809856E-2</v>
      </c>
      <c r="J54">
        <f t="shared" si="24"/>
        <v>1</v>
      </c>
      <c r="K54">
        <f t="shared" si="25"/>
        <v>0</v>
      </c>
    </row>
    <row r="55" spans="1:11" x14ac:dyDescent="0.25">
      <c r="A55" s="2"/>
      <c r="B55" s="3">
        <f>IF(J54=1,B54-$A$42,B54+$A$42)</f>
        <v>0.64566666666666594</v>
      </c>
      <c r="C55" s="3">
        <f>IF(K54=1,C54-$A$42,C54+$A$42)</f>
        <v>0.68766666666666598</v>
      </c>
      <c r="D55" s="1">
        <f t="shared" si="18"/>
        <v>0.87148564228137093</v>
      </c>
      <c r="E55">
        <f t="shared" si="19"/>
        <v>0.63593422729083271</v>
      </c>
      <c r="F55" s="1">
        <f t="shared" si="20"/>
        <v>0.91236571744077821</v>
      </c>
      <c r="G55" s="1">
        <f t="shared" si="21"/>
        <v>0.5998430822477232</v>
      </c>
      <c r="H55">
        <f t="shared" si="22"/>
        <v>4.0880075159407281E-2</v>
      </c>
      <c r="I55">
        <f t="shared" si="23"/>
        <v>-3.6091145043109507E-2</v>
      </c>
      <c r="J55">
        <f t="shared" si="24"/>
        <v>1</v>
      </c>
      <c r="K55">
        <f t="shared" si="25"/>
        <v>0</v>
      </c>
    </row>
    <row r="56" spans="1:11" x14ac:dyDescent="0.25">
      <c r="A56" s="2"/>
      <c r="B56" s="3">
        <f>IF(J55=1,B55-$A$42,B55+$A$42)</f>
        <v>0.64466666666666594</v>
      </c>
      <c r="C56" s="3">
        <f>IF(K55=1,C55-$A$42,C55+$A$42)</f>
        <v>0.68866666666666598</v>
      </c>
      <c r="D56" s="1">
        <f t="shared" si="18"/>
        <v>0.87741916060798597</v>
      </c>
      <c r="E56">
        <f t="shared" si="19"/>
        <v>0.63072185062156749</v>
      </c>
      <c r="F56" s="1">
        <f t="shared" si="20"/>
        <v>0.92026645039773891</v>
      </c>
      <c r="G56" s="1">
        <f t="shared" si="21"/>
        <v>0.59311228092748269</v>
      </c>
      <c r="H56">
        <f t="shared" si="22"/>
        <v>4.284728978975294E-2</v>
      </c>
      <c r="I56">
        <f t="shared" si="23"/>
        <v>-3.7609569694084799E-2</v>
      </c>
      <c r="J56">
        <f t="shared" si="24"/>
        <v>1</v>
      </c>
      <c r="K56">
        <f t="shared" si="25"/>
        <v>0</v>
      </c>
    </row>
    <row r="57" spans="1:11" x14ac:dyDescent="0.25">
      <c r="A57" s="2"/>
      <c r="B57" s="3">
        <f>IF(J56=1,B56-$A$42,B56+$A$42)</f>
        <v>0.64366666666666594</v>
      </c>
      <c r="C57" s="3">
        <f>IF(K56=1,C56-$A$42,C56+$A$42)</f>
        <v>0.68966666666666598</v>
      </c>
      <c r="D57" s="1">
        <f t="shared" si="18"/>
        <v>0.88336433821221416</v>
      </c>
      <c r="E57">
        <f t="shared" si="19"/>
        <v>0.62553091489232338</v>
      </c>
      <c r="F57" s="1">
        <f t="shared" si="20"/>
        <v>0.92817524760030146</v>
      </c>
      <c r="G57" s="1">
        <f t="shared" si="21"/>
        <v>0.58642399244935439</v>
      </c>
      <c r="H57">
        <f t="shared" si="22"/>
        <v>4.4810909388087294E-2</v>
      </c>
      <c r="I57">
        <f t="shared" si="23"/>
        <v>-3.9106922442968983E-2</v>
      </c>
      <c r="J57">
        <f t="shared" si="24"/>
        <v>1</v>
      </c>
      <c r="K57">
        <f t="shared" si="25"/>
        <v>0</v>
      </c>
    </row>
    <row r="58" spans="1:11" x14ac:dyDescent="0.25">
      <c r="A58" s="2"/>
      <c r="B58" s="3">
        <f>IF(J57=1,B57-$A$42,B57+$A$42)</f>
        <v>0.64266666666666594</v>
      </c>
      <c r="C58" s="3">
        <f>IF(K57=1,C57-$A$42,C57+$A$42)</f>
        <v>0.69066666666666598</v>
      </c>
      <c r="D58" s="1">
        <f t="shared" ref="D58:D69" si="26">((B58^(1/($B$1-1))*$B$2)/(B58^($B$1/($B$1-1))+C58^($B$1/($B$1-1))))</f>
        <v>0.88932093477649532</v>
      </c>
      <c r="E58">
        <f t="shared" ref="E58:E69" si="27">((C58^(1/($B$1-1))*$B$2)/(B58^($B$1/($B$1-1))+C58^($B$1/($B$1-1))))</f>
        <v>0.62036160123113882</v>
      </c>
      <c r="F58" s="1">
        <f t="shared" ref="F58:F82" si="28">(D58/(D58+E58))^2 + (D58/(D58+E58))</f>
        <v>0.9360911293422769</v>
      </c>
      <c r="G58" s="1">
        <f t="shared" ref="G58:G82" si="29">(E58/(D58+E58))^2 + (E58/(D58+E58))</f>
        <v>0.57977868996462956</v>
      </c>
      <c r="H58">
        <f t="shared" ref="H58:H69" si="30">F58-D58</f>
        <v>4.6770194565781575E-2</v>
      </c>
      <c r="I58">
        <f t="shared" ref="I58:I69" si="31">G58-E58</f>
        <v>-4.0582911266509258E-2</v>
      </c>
      <c r="J58">
        <f t="shared" ref="J58:J69" si="32">IF(H58&gt;0,1,0)</f>
        <v>1</v>
      </c>
      <c r="K58">
        <f t="shared" ref="K58:K69" si="33">IF(I58&gt;0,1,0)</f>
        <v>0</v>
      </c>
    </row>
    <row r="59" spans="1:11" x14ac:dyDescent="0.25">
      <c r="A59" s="2"/>
      <c r="B59" s="3">
        <f>IF(J58=1,B58-$A$42,B58+$A$42)</f>
        <v>0.64166666666666594</v>
      </c>
      <c r="C59" s="3">
        <f>IF(K58=1,C58-$A$42,C58+$A$42)</f>
        <v>0.69166666666666599</v>
      </c>
      <c r="D59" s="1">
        <f t="shared" si="26"/>
        <v>0.89528871028975221</v>
      </c>
      <c r="E59">
        <f t="shared" si="27"/>
        <v>0.61521408804444822</v>
      </c>
      <c r="F59" s="1">
        <f t="shared" si="28"/>
        <v>0.94401311376782693</v>
      </c>
      <c r="G59" s="1">
        <f t="shared" si="29"/>
        <v>0.57317682991032803</v>
      </c>
      <c r="H59">
        <f t="shared" si="30"/>
        <v>4.8724403478074718E-2</v>
      </c>
      <c r="I59">
        <f t="shared" si="31"/>
        <v>-4.2037258134120181E-2</v>
      </c>
      <c r="J59">
        <f t="shared" si="32"/>
        <v>1</v>
      </c>
      <c r="K59">
        <f t="shared" si="33"/>
        <v>0</v>
      </c>
    </row>
    <row r="60" spans="1:11" x14ac:dyDescent="0.25">
      <c r="A60" s="2"/>
      <c r="B60" s="3">
        <f>IF(J59=1,B59-$A$42,B59+$A$42)</f>
        <v>0.64066666666666594</v>
      </c>
      <c r="C60" s="3">
        <f>IF(K59=1,C59-$A$42,C59+$A$42)</f>
        <v>0.69266666666666599</v>
      </c>
      <c r="D60" s="1">
        <f t="shared" si="26"/>
        <v>0.90126742512025648</v>
      </c>
      <c r="E60">
        <f t="shared" si="27"/>
        <v>0.61008855097154491</v>
      </c>
      <c r="F60" s="1">
        <f t="shared" si="28"/>
        <v>0.95194021735890622</v>
      </c>
      <c r="G60" s="1">
        <f t="shared" si="29"/>
        <v>0.56661885196930706</v>
      </c>
      <c r="H60">
        <f t="shared" si="30"/>
        <v>5.0672792238649733E-2</v>
      </c>
      <c r="I60">
        <f t="shared" si="31"/>
        <v>-4.3469699002237849E-2</v>
      </c>
      <c r="J60">
        <f t="shared" si="32"/>
        <v>1</v>
      </c>
      <c r="K60">
        <f t="shared" si="33"/>
        <v>0</v>
      </c>
    </row>
    <row r="61" spans="1:11" x14ac:dyDescent="0.25">
      <c r="A61" s="2"/>
      <c r="B61" s="3">
        <f>IF(J60=1,B60-$A$42,B60+$A$42)</f>
        <v>0.63966666666666594</v>
      </c>
      <c r="C61" s="3">
        <f>IF(K60=1,C60-$A$42,C60+$A$42)</f>
        <v>0.69366666666666599</v>
      </c>
      <c r="D61" s="1">
        <f t="shared" si="26"/>
        <v>0.9072568400881833</v>
      </c>
      <c r="E61">
        <f t="shared" si="27"/>
        <v>0.60498516284035531</v>
      </c>
      <c r="F61" s="1">
        <f t="shared" si="28"/>
        <v>0.95987145542298202</v>
      </c>
      <c r="G61" s="1">
        <f t="shared" si="29"/>
        <v>0.56010517904332513</v>
      </c>
      <c r="H61">
        <f t="shared" si="30"/>
        <v>5.261461533479872E-2</v>
      </c>
      <c r="I61">
        <f t="shared" si="31"/>
        <v>-4.4879983797030176E-2</v>
      </c>
      <c r="J61">
        <f t="shared" si="32"/>
        <v>1</v>
      </c>
      <c r="K61">
        <f t="shared" si="33"/>
        <v>0</v>
      </c>
    </row>
    <row r="62" spans="1:11" x14ac:dyDescent="0.25">
      <c r="A62" s="2"/>
      <c r="B62" s="3">
        <f>IF(J61=1,B61-$A$42,B61+$A$42)</f>
        <v>0.63866666666666594</v>
      </c>
      <c r="C62" s="3">
        <f>IF(K61=1,C61-$A$42,C61+$A$42)</f>
        <v>0.69466666666666599</v>
      </c>
      <c r="D62" s="1">
        <f t="shared" si="26"/>
        <v>0.91325671653781626</v>
      </c>
      <c r="E62">
        <f t="shared" si="27"/>
        <v>0.59990409362454289</v>
      </c>
      <c r="F62" s="1">
        <f t="shared" si="28"/>
        <v>0.96780584258052904</v>
      </c>
      <c r="G62" s="1">
        <f t="shared" si="29"/>
        <v>0.55363621723892198</v>
      </c>
      <c r="H62">
        <f t="shared" si="30"/>
        <v>5.4549126042712781E-2</v>
      </c>
      <c r="I62">
        <f t="shared" si="31"/>
        <v>-4.626787638562091E-2</v>
      </c>
      <c r="J62">
        <f t="shared" si="32"/>
        <v>1</v>
      </c>
      <c r="K62">
        <f t="shared" si="33"/>
        <v>0</v>
      </c>
    </row>
    <row r="63" spans="1:11" x14ac:dyDescent="0.25">
      <c r="A63" s="2"/>
      <c r="B63" s="3">
        <f>IF(J62=1,B62-$A$42,B62+$A$42)</f>
        <v>0.63766666666666594</v>
      </c>
      <c r="C63" s="3">
        <f>IF(K62=1,C62-$A$42,C62+$A$42)</f>
        <v>0.69566666666666599</v>
      </c>
      <c r="D63" s="1">
        <f t="shared" si="26"/>
        <v>0.91926681640936003</v>
      </c>
      <c r="E63">
        <f t="shared" si="27"/>
        <v>0.59484551040196365</v>
      </c>
      <c r="F63" s="1">
        <f t="shared" si="28"/>
        <v>0.97574239325178025</v>
      </c>
      <c r="G63" s="1">
        <f t="shared" si="29"/>
        <v>0.54721235586595673</v>
      </c>
      <c r="H63">
        <f t="shared" si="30"/>
        <v>5.6475576842420216E-2</v>
      </c>
      <c r="I63">
        <f t="shared" si="31"/>
        <v>-4.7633154536006916E-2</v>
      </c>
      <c r="J63">
        <f t="shared" si="32"/>
        <v>1</v>
      </c>
      <c r="K63">
        <f t="shared" si="33"/>
        <v>0</v>
      </c>
    </row>
    <row r="64" spans="1:11" x14ac:dyDescent="0.25">
      <c r="A64" s="2"/>
      <c r="B64" s="3">
        <f>IF(J63=1,B63-$A$42,B63+$A$42)</f>
        <v>0.63666666666666594</v>
      </c>
      <c r="C64" s="3">
        <f>IF(K63=1,C63-$A$42,C63+$A$42)</f>
        <v>0.69666666666666599</v>
      </c>
      <c r="D64" s="1">
        <f t="shared" si="26"/>
        <v>0.92528690231033728</v>
      </c>
      <c r="E64">
        <f t="shared" si="27"/>
        <v>0.58980957731447792</v>
      </c>
      <c r="F64" s="1">
        <f t="shared" si="28"/>
        <v>0.98368012214225342</v>
      </c>
      <c r="G64" s="1">
        <f t="shared" si="29"/>
        <v>0.54083396744861445</v>
      </c>
      <c r="H64">
        <f t="shared" si="30"/>
        <v>5.8393219831916143E-2</v>
      </c>
      <c r="I64">
        <f t="shared" si="31"/>
        <v>-4.8975609865863468E-2</v>
      </c>
      <c r="J64">
        <f t="shared" si="32"/>
        <v>1</v>
      </c>
      <c r="K64">
        <f t="shared" si="33"/>
        <v>0</v>
      </c>
    </row>
    <row r="65" spans="1:11" x14ac:dyDescent="0.25">
      <c r="A65" s="2"/>
      <c r="B65" s="3">
        <f>IF(J64=1,B64-$A$42,B64+$A$42)</f>
        <v>0.63566666666666594</v>
      </c>
      <c r="C65" s="3">
        <f>IF(K64=1,C64-$A$42,C64+$A$42)</f>
        <v>0.69766666666666599</v>
      </c>
      <c r="D65" s="1">
        <f t="shared" si="26"/>
        <v>0.93131673758652389</v>
      </c>
      <c r="E65">
        <f t="shared" si="27"/>
        <v>0.58479645552914561</v>
      </c>
      <c r="F65" s="1">
        <f t="shared" si="28"/>
        <v>0.99161804472653592</v>
      </c>
      <c r="G65" s="1">
        <f t="shared" si="29"/>
        <v>0.53450140774870436</v>
      </c>
      <c r="H65">
        <f t="shared" si="30"/>
        <v>6.0301307140012028E-2</v>
      </c>
      <c r="I65">
        <f t="shared" si="31"/>
        <v>-5.0295047780441249E-2</v>
      </c>
      <c r="J65">
        <f t="shared" si="32"/>
        <v>1</v>
      </c>
      <c r="K65">
        <f t="shared" si="33"/>
        <v>0</v>
      </c>
    </row>
    <row r="66" spans="1:11" x14ac:dyDescent="0.25">
      <c r="A66" s="2"/>
      <c r="B66" s="3">
        <f>IF(J65=1,B65-$A$42,B65+$A$42)</f>
        <v>0.63466666666666594</v>
      </c>
      <c r="C66" s="3">
        <f>IF(K65=1,C65-$A$42,C65+$A$42)</f>
        <v>0.69866666666666599</v>
      </c>
      <c r="D66" s="1">
        <f t="shared" si="26"/>
        <v>0.93735608639238921</v>
      </c>
      <c r="E66">
        <f t="shared" si="27"/>
        <v>0.5798063032008085</v>
      </c>
      <c r="F66" s="1">
        <f t="shared" si="28"/>
        <v>0.99955517772984859</v>
      </c>
      <c r="G66" s="1">
        <f t="shared" si="29"/>
        <v>0.52821501580103636</v>
      </c>
      <c r="H66">
        <f t="shared" si="30"/>
        <v>6.2199091337459378E-2</v>
      </c>
      <c r="I66">
        <f t="shared" si="31"/>
        <v>-5.1591287399772146E-2</v>
      </c>
      <c r="J66">
        <f t="shared" si="32"/>
        <v>1</v>
      </c>
      <c r="K66">
        <f t="shared" si="33"/>
        <v>0</v>
      </c>
    </row>
    <row r="67" spans="1:11" x14ac:dyDescent="0.25">
      <c r="A67" s="2"/>
      <c r="B67" s="3">
        <f>IF(J66=1,B66-$A$42,B66+$A$42)</f>
        <v>0.63366666666666593</v>
      </c>
      <c r="C67" s="3">
        <f>IF(K66=1,C66-$A$42,C66+$A$42)</f>
        <v>0.69966666666666599</v>
      </c>
      <c r="D67" s="1">
        <f t="shared" si="26"/>
        <v>0.94340471376100965</v>
      </c>
      <c r="E67">
        <f t="shared" si="27"/>
        <v>0.57483927543607616</v>
      </c>
      <c r="F67" s="1">
        <f t="shared" si="28"/>
        <v>1.0074905396068976</v>
      </c>
      <c r="G67" s="1">
        <f t="shared" si="29"/>
        <v>0.52197511396065854</v>
      </c>
      <c r="H67">
        <f t="shared" si="30"/>
        <v>6.4085825845887956E-2</v>
      </c>
      <c r="I67">
        <f t="shared" si="31"/>
        <v>-5.2864161475417615E-2</v>
      </c>
      <c r="J67">
        <f t="shared" si="32"/>
        <v>1</v>
      </c>
      <c r="K67">
        <f t="shared" si="33"/>
        <v>0</v>
      </c>
    </row>
    <row r="68" spans="1:11" x14ac:dyDescent="0.25">
      <c r="A68" s="2"/>
      <c r="B68" s="3">
        <f>IF(J67=1,B67-$A$42,B67+$A$42)</f>
        <v>0.63266666666666593</v>
      </c>
      <c r="C68" s="3">
        <f>IF(K67=1,C67-$A$42,C67+$A$42)</f>
        <v>0.70066666666666599</v>
      </c>
      <c r="D68" s="1">
        <f t="shared" si="26"/>
        <v>0.94946238567342522</v>
      </c>
      <c r="E68">
        <f t="shared" si="27"/>
        <v>0.56989552425872603</v>
      </c>
      <c r="F68" s="1">
        <f t="shared" si="28"/>
        <v>1.0154231510175418</v>
      </c>
      <c r="G68" s="1">
        <f t="shared" si="29"/>
        <v>0.5157820079617238</v>
      </c>
      <c r="H68">
        <f t="shared" si="30"/>
        <v>6.5960765344116545E-2</v>
      </c>
      <c r="I68">
        <f t="shared" si="31"/>
        <v>-5.4113516297002229E-2</v>
      </c>
      <c r="J68">
        <f t="shared" si="32"/>
        <v>1</v>
      </c>
      <c r="K68">
        <f t="shared" si="33"/>
        <v>0</v>
      </c>
    </row>
    <row r="69" spans="1:11" x14ac:dyDescent="0.25">
      <c r="A69" s="2"/>
      <c r="B69" s="3">
        <f>IF(J68=1,B68-$A$42,B68+$A$42)</f>
        <v>0.63166666666666593</v>
      </c>
      <c r="C69" s="3">
        <f>IF(K68=1,C68-$A$42,C68+$A$42)</f>
        <v>0.70166666666666599</v>
      </c>
      <c r="D69" s="1">
        <f t="shared" si="26"/>
        <v>0.95552886912739399</v>
      </c>
      <c r="E69">
        <f t="shared" si="27"/>
        <v>0.56497519857652845</v>
      </c>
      <c r="F69" s="1">
        <f t="shared" si="28"/>
        <v>1.0233520352987933</v>
      </c>
      <c r="G69" s="1">
        <f t="shared" si="29"/>
        <v>0.50963598698774659</v>
      </c>
      <c r="H69">
        <f t="shared" si="30"/>
        <v>6.7823166171399274E-2</v>
      </c>
      <c r="I69">
        <f t="shared" si="31"/>
        <v>-5.5339211588781856E-2</v>
      </c>
      <c r="J69">
        <f t="shared" si="32"/>
        <v>1</v>
      </c>
      <c r="K69">
        <f t="shared" si="33"/>
        <v>0</v>
      </c>
    </row>
    <row r="70" spans="1:11" x14ac:dyDescent="0.25">
      <c r="A70" s="2"/>
      <c r="B70" s="3">
        <f>IF(J69=1,B69-$A$42,B69+$A$42)</f>
        <v>0.63066666666666593</v>
      </c>
      <c r="C70" s="3">
        <f>IF(K69=1,C69-$A$42,C69+$A$42)</f>
        <v>0.702666666666666</v>
      </c>
      <c r="D70" s="1">
        <f>((B70^(1/($B$1-1))*$B$2)/(B70^($B$1/($B$1-1))+C70^($B$1/($B$1-1))))</f>
        <v>0.96160393220552387</v>
      </c>
      <c r="E70">
        <f>((C70^(1/($B$1-1))*$B$2)/(B70^($B$1/($B$1-1))+C70^($B$1/($B$1-1))))</f>
        <v>0.56007844414950281</v>
      </c>
      <c r="F70" s="1">
        <f t="shared" si="28"/>
        <v>1.0312762189327007</v>
      </c>
      <c r="G70" s="1">
        <f t="shared" si="29"/>
        <v>0.50353732375298743</v>
      </c>
      <c r="H70">
        <f>F70-D70</f>
        <v>6.9672286727176846E-2</v>
      </c>
      <c r="I70">
        <f>G70-E70</f>
        <v>-5.6541120396515376E-2</v>
      </c>
      <c r="J70">
        <f>IF(H70&gt;0,1,0)</f>
        <v>1</v>
      </c>
      <c r="K70">
        <f>IF(I70&gt;0,1,0)</f>
        <v>0</v>
      </c>
    </row>
    <row r="71" spans="1:11" x14ac:dyDescent="0.25">
      <c r="A71" s="2"/>
      <c r="B71" s="3">
        <f>IF(J70=1,B70-$A$42,B70+$A$42)</f>
        <v>0.62966666666666593</v>
      </c>
      <c r="C71" s="3">
        <f>IF(K70=1,C70-$A$42,C70+$A$42)</f>
        <v>0.703666666666666</v>
      </c>
      <c r="D71" s="1">
        <f t="shared" ref="D71:D92" si="34">((B71^(1/($B$1-1))*$B$2)/(B71^($B$1/($B$1-1))+C71^($B$1/($B$1-1))))</f>
        <v>0.96768734414274737</v>
      </c>
      <c r="E71">
        <f t="shared" ref="E71:E92" si="35">((C71^(1/($B$1-1))*$B$2)/(B71^($B$1/($B$1-1))+C71^($B$1/($B$1-1))))</f>
        <v>0.55520540355961778</v>
      </c>
      <c r="F71" s="1">
        <f t="shared" si="28"/>
        <v>1.039194732009654</v>
      </c>
      <c r="G71" s="1">
        <f t="shared" si="29"/>
        <v>0.49748627459470635</v>
      </c>
      <c r="H71">
        <f t="shared" ref="H71:H92" si="36">F71-D71</f>
        <v>7.150738786690658E-2</v>
      </c>
      <c r="I71">
        <f t="shared" ref="I71:I92" si="37">G71-E71</f>
        <v>-5.7719128964911437E-2</v>
      </c>
      <c r="J71">
        <f t="shared" ref="J71:J92" si="38">IF(H71&gt;0,1,0)</f>
        <v>1</v>
      </c>
      <c r="K71">
        <f t="shared" ref="K71:K92" si="39">IF(I71&gt;0,1,0)</f>
        <v>0</v>
      </c>
    </row>
    <row r="72" spans="1:11" x14ac:dyDescent="0.25">
      <c r="A72" s="2"/>
      <c r="B72" s="3">
        <f>IF(J71=1,B71-$A$42,B71+$A$42)</f>
        <v>0.62866666666666593</v>
      </c>
      <c r="C72" s="3">
        <f>IF(K71=1,C71-$A$42,C71+$A$42)</f>
        <v>0.704666666666666</v>
      </c>
      <c r="D72" s="1">
        <f t="shared" si="34"/>
        <v>0.97377887539310137</v>
      </c>
      <c r="E72">
        <f t="shared" si="35"/>
        <v>0.55035621618193653</v>
      </c>
      <c r="F72" s="1">
        <f t="shared" si="28"/>
        <v>1.0471066086866696</v>
      </c>
      <c r="G72" s="1">
        <f t="shared" si="29"/>
        <v>0.49148307957600418</v>
      </c>
      <c r="H72">
        <f t="shared" si="36"/>
        <v>7.3327733293568231E-2</v>
      </c>
      <c r="I72">
        <f t="shared" si="37"/>
        <v>-5.8873136605932352E-2</v>
      </c>
      <c r="J72">
        <f t="shared" si="38"/>
        <v>1</v>
      </c>
      <c r="K72">
        <f t="shared" si="39"/>
        <v>0</v>
      </c>
    </row>
    <row r="73" spans="1:11" x14ac:dyDescent="0.25">
      <c r="A73" s="2"/>
      <c r="B73" s="3">
        <f>IF(J72=1,B72-$A$42,B72+$A$42)</f>
        <v>0.62766666666666593</v>
      </c>
      <c r="C73" s="3">
        <f>IF(K72=1,C72-$A$42,C72+$A$42)</f>
        <v>0.705666666666666</v>
      </c>
      <c r="D73" s="1">
        <f t="shared" si="34"/>
        <v>0.97987829769579016</v>
      </c>
      <c r="E73">
        <f t="shared" si="35"/>
        <v>0.54553101815721794</v>
      </c>
      <c r="F73" s="1">
        <f t="shared" si="28"/>
        <v>1.0550108876402216</v>
      </c>
      <c r="G73" s="1">
        <f t="shared" si="29"/>
        <v>0.4855279625989708</v>
      </c>
      <c r="H73">
        <f t="shared" si="36"/>
        <v>7.5132589944431394E-2</v>
      </c>
      <c r="I73">
        <f t="shared" si="37"/>
        <v>-6.0003055558247143E-2</v>
      </c>
      <c r="J73">
        <f t="shared" si="38"/>
        <v>1</v>
      </c>
      <c r="K73">
        <f t="shared" si="39"/>
        <v>0</v>
      </c>
    </row>
    <row r="74" spans="1:11" x14ac:dyDescent="0.25">
      <c r="A74" s="2"/>
      <c r="B74" s="3">
        <f>IF(J73=1,B73-$A$42,B73+$A$42)</f>
        <v>0.62666666666666593</v>
      </c>
      <c r="C74" s="3">
        <f>IF(K73=1,C73-$A$42,C73+$A$42)</f>
        <v>0.706666666666666</v>
      </c>
      <c r="D74" s="1">
        <f t="shared" si="34"/>
        <v>0.98598538414049908</v>
      </c>
      <c r="E74">
        <f t="shared" si="35"/>
        <v>0.54072994236597427</v>
      </c>
      <c r="F74" s="1">
        <f t="shared" si="28"/>
        <v>1.0629066125132005</v>
      </c>
      <c r="G74" s="1">
        <f t="shared" si="29"/>
        <v>0.47962113152784014</v>
      </c>
      <c r="H74">
        <f t="shared" si="36"/>
        <v>7.6921228372701433E-2</v>
      </c>
      <c r="I74">
        <f t="shared" si="37"/>
        <v>-6.1108810838134131E-2</v>
      </c>
      <c r="J74">
        <f t="shared" si="38"/>
        <v>1</v>
      </c>
      <c r="K74">
        <f t="shared" si="39"/>
        <v>0</v>
      </c>
    </row>
    <row r="75" spans="1:11" x14ac:dyDescent="0.25">
      <c r="A75" s="2"/>
      <c r="B75" s="3">
        <f>IF(J74=1,B74-$A$42,B74+$A$42)</f>
        <v>0.62566666666666593</v>
      </c>
      <c r="C75" s="3">
        <f>IF(K74=1,C74-$A$42,C74+$A$42)</f>
        <v>0.707666666666666</v>
      </c>
      <c r="D75" s="1">
        <f t="shared" si="34"/>
        <v>0.99209990923192692</v>
      </c>
      <c r="E75">
        <f t="shared" si="35"/>
        <v>0.53595311840399251</v>
      </c>
      <c r="F75" s="1">
        <f t="shared" si="28"/>
        <v>1.0707928323555818</v>
      </c>
      <c r="G75" s="1">
        <f t="shared" si="29"/>
        <v>0.47376277832185743</v>
      </c>
      <c r="H75">
        <f t="shared" si="36"/>
        <v>7.8692923123654834E-2</v>
      </c>
      <c r="I75">
        <f t="shared" si="37"/>
        <v>-6.2190340082135087E-2</v>
      </c>
      <c r="J75">
        <f t="shared" si="38"/>
        <v>1</v>
      </c>
      <c r="K75">
        <f t="shared" si="39"/>
        <v>0</v>
      </c>
    </row>
    <row r="76" spans="1:11" x14ac:dyDescent="0.25">
      <c r="B76" s="3">
        <f>IF(J75=1,B75-$A$42,B75+$A$42)</f>
        <v>0.62466666666666593</v>
      </c>
      <c r="C76" s="3">
        <f>IF(K75=1,C75-$A$42,C75+$A$42)</f>
        <v>0.708666666666666</v>
      </c>
      <c r="D76" s="1">
        <f t="shared" si="34"/>
        <v>0.99822164895351662</v>
      </c>
      <c r="E76">
        <f t="shared" si="35"/>
        <v>0.53120067255931958</v>
      </c>
      <c r="F76" s="1">
        <f t="shared" si="28"/>
        <v>1.0786686020584164</v>
      </c>
      <c r="G76" s="1">
        <f t="shared" si="29"/>
        <v>0.46795307917754114</v>
      </c>
      <c r="H76">
        <f t="shared" si="36"/>
        <v>8.0446953104899799E-2</v>
      </c>
      <c r="I76">
        <f t="shared" si="37"/>
        <v>-6.3247593381778433E-2</v>
      </c>
      <c r="J76">
        <f t="shared" si="38"/>
        <v>1</v>
      </c>
      <c r="K76">
        <f t="shared" si="39"/>
        <v>0</v>
      </c>
    </row>
    <row r="77" spans="1:11" x14ac:dyDescent="0.25">
      <c r="B77" s="3">
        <f>IF(J76=1,B76-$A$42,B76+$A$42)</f>
        <v>0.62366666666666593</v>
      </c>
      <c r="C77" s="3">
        <f>IF(K76=1,C76-$A$42,C76+$A$42)</f>
        <v>0.709666666666666</v>
      </c>
      <c r="D77" s="1">
        <f t="shared" si="34"/>
        <v>1.0043503808303442</v>
      </c>
      <c r="E77">
        <f t="shared" si="35"/>
        <v>0.52647272779071363</v>
      </c>
      <c r="F77" s="1">
        <f t="shared" si="28"/>
        <v>1.0865329827807477</v>
      </c>
      <c r="G77" s="1">
        <f t="shared" si="29"/>
        <v>0.46219219468003042</v>
      </c>
      <c r="H77">
        <f t="shared" si="36"/>
        <v>8.21826019504035E-2</v>
      </c>
      <c r="I77">
        <f t="shared" si="37"/>
        <v>-6.4280533110683213E-2</v>
      </c>
      <c r="J77">
        <f t="shared" si="38"/>
        <v>1</v>
      </c>
      <c r="K77">
        <f t="shared" si="39"/>
        <v>0</v>
      </c>
    </row>
    <row r="78" spans="1:11" x14ac:dyDescent="0.25">
      <c r="B78" s="3">
        <f>IF(J77=1,B77-$A$42,B77+$A$42)</f>
        <v>0.62266666666666592</v>
      </c>
      <c r="C78" s="3">
        <f>IF(K77=1,C77-$A$42,C77+$A$42)</f>
        <v>0.710666666666666</v>
      </c>
      <c r="D78" s="1">
        <f t="shared" si="34"/>
        <v>1.0104858839911581</v>
      </c>
      <c r="E78">
        <f t="shared" si="35"/>
        <v>0.52176940370756075</v>
      </c>
      <c r="F78" s="1">
        <f t="shared" si="28"/>
        <v>1.0943850423690915</v>
      </c>
      <c r="G78" s="1">
        <f t="shared" si="29"/>
        <v>0.45648026996318719</v>
      </c>
      <c r="H78">
        <f t="shared" si="36"/>
        <v>8.389915837793338E-2</v>
      </c>
      <c r="I78">
        <f t="shared" si="37"/>
        <v>-6.5289133744373562E-2</v>
      </c>
      <c r="J78">
        <f t="shared" si="38"/>
        <v>1</v>
      </c>
      <c r="K78">
        <f t="shared" si="39"/>
        <v>0</v>
      </c>
    </row>
    <row r="79" spans="1:11" x14ac:dyDescent="0.25">
      <c r="B79" s="3">
        <f>IF(J78=1,B78-$A$42,B78+$A$42)</f>
        <v>0.62166666666666592</v>
      </c>
      <c r="C79" s="3">
        <f>IF(K78=1,C78-$A$42,C78+$A$42)</f>
        <v>0.711666666666666</v>
      </c>
      <c r="D79" s="1">
        <f t="shared" si="34"/>
        <v>1.0166279392295254</v>
      </c>
      <c r="E79">
        <f t="shared" si="35"/>
        <v>0.51709081655125921</v>
      </c>
      <c r="F79" s="1">
        <f t="shared" si="28"/>
        <v>1.1022238557691166</v>
      </c>
      <c r="G79" s="1">
        <f t="shared" si="29"/>
        <v>0.45081743487813358</v>
      </c>
      <c r="H79">
        <f t="shared" si="36"/>
        <v>8.5595916539591199E-2</v>
      </c>
      <c r="I79">
        <f t="shared" si="37"/>
        <v>-6.6273381673125631E-2</v>
      </c>
      <c r="J79">
        <f t="shared" si="38"/>
        <v>1</v>
      </c>
      <c r="K79">
        <f t="shared" si="39"/>
        <v>0</v>
      </c>
    </row>
    <row r="80" spans="1:11" x14ac:dyDescent="0.25">
      <c r="B80" s="3">
        <f>IF(J79=1,B79-$A$42,B79+$A$42)</f>
        <v>0.62066666666666592</v>
      </c>
      <c r="C80" s="3">
        <f>IF(K79=1,C79-$A$42,C79+$A$42)</f>
        <v>0.712666666666666</v>
      </c>
      <c r="D80" s="1">
        <f t="shared" si="34"/>
        <v>1.0227763290640703</v>
      </c>
      <c r="E80">
        <f t="shared" si="35"/>
        <v>0.5124370791780658</v>
      </c>
      <c r="F80" s="1">
        <f t="shared" si="28"/>
        <v>1.1100485054291831</v>
      </c>
      <c r="G80" s="1">
        <f t="shared" si="29"/>
        <v>0.44520380416988697</v>
      </c>
      <c r="H80">
        <f t="shared" si="36"/>
        <v>8.7272176365112752E-2</v>
      </c>
      <c r="I80">
        <f t="shared" si="37"/>
        <v>-6.7233275008178828E-2</v>
      </c>
      <c r="J80">
        <f t="shared" si="38"/>
        <v>1</v>
      </c>
      <c r="K80">
        <f t="shared" si="39"/>
        <v>0</v>
      </c>
    </row>
    <row r="81" spans="2:11" x14ac:dyDescent="0.25">
      <c r="B81" s="3">
        <f>IF(J80=1,B80-$A$42,B80+$A$42)</f>
        <v>0.61966666666666592</v>
      </c>
      <c r="C81" s="3">
        <f>IF(K80=1,C80-$A$42,C80+$A$42)</f>
        <v>0.71366666666666601</v>
      </c>
      <c r="D81" s="1">
        <f t="shared" si="34"/>
        <v>1.0289308377977786</v>
      </c>
      <c r="E81">
        <f t="shared" si="35"/>
        <v>0.50780830104340591</v>
      </c>
      <c r="F81" s="1">
        <f t="shared" si="28"/>
        <v>1.1178580816954109</v>
      </c>
      <c r="G81" s="1">
        <f t="shared" si="29"/>
        <v>0.43963947766175848</v>
      </c>
      <c r="H81">
        <f t="shared" si="36"/>
        <v>8.8927243897632291E-2</v>
      </c>
      <c r="I81">
        <f t="shared" si="37"/>
        <v>-6.8168823381647425E-2</v>
      </c>
      <c r="J81">
        <f t="shared" si="38"/>
        <v>1</v>
      </c>
      <c r="K81">
        <f t="shared" si="39"/>
        <v>0</v>
      </c>
    </row>
    <row r="82" spans="2:11" x14ac:dyDescent="0.25">
      <c r="B82" s="3">
        <f>IF(J81=1,B81-$A$42,B81+$A$42)</f>
        <v>0.61866666666666592</v>
      </c>
      <c r="C82" s="3">
        <f>IF(K81=1,C81-$A$42,C81+$A$42)</f>
        <v>0.71466666666666601</v>
      </c>
      <c r="D82" s="1">
        <f t="shared" si="34"/>
        <v>1.03509125157635</v>
      </c>
      <c r="E82">
        <f t="shared" si="35"/>
        <v>0.50320458818763891</v>
      </c>
      <c r="F82" s="1">
        <f t="shared" si="28"/>
        <v>1.1256516831979635</v>
      </c>
      <c r="G82" s="1">
        <f t="shared" si="29"/>
        <v>0.43412454044717103</v>
      </c>
      <c r="H82">
        <f t="shared" si="36"/>
        <v>9.0560431621613535E-2</v>
      </c>
      <c r="I82">
        <f t="shared" si="37"/>
        <v>-6.9080047740467887E-2</v>
      </c>
      <c r="J82">
        <f t="shared" si="38"/>
        <v>1</v>
      </c>
      <c r="K82">
        <f t="shared" si="39"/>
        <v>0</v>
      </c>
    </row>
    <row r="83" spans="2:11" x14ac:dyDescent="0.25">
      <c r="B83" s="3">
        <f>IF(J82=1,B82-$A$42,B82+$A$42)</f>
        <v>0.61766666666666592</v>
      </c>
      <c r="C83" s="3">
        <f>IF(K82=1,C82-$A$42,C82+$A$42)</f>
        <v>0.71566666666666601</v>
      </c>
      <c r="D83" s="1">
        <f t="shared" si="34"/>
        <v>1.0412573584455622</v>
      </c>
      <c r="E83">
        <f t="shared" si="35"/>
        <v>0.49862604322327758</v>
      </c>
      <c r="F83" s="1">
        <f t="shared" ref="F83:F92" si="40">(D83/(D83+E83))^2 + (D83/(D83+E83))</f>
        <v>1.1334284172282467</v>
      </c>
      <c r="G83" s="1">
        <f t="shared" ref="G83:G92" si="41">(E83/(D83+E83))^2 + (E83/(D83+E83))</f>
        <v>0.42865906308856183</v>
      </c>
      <c r="H83">
        <f t="shared" si="36"/>
        <v>9.2171058782684501E-2</v>
      </c>
      <c r="I83">
        <f t="shared" si="37"/>
        <v>-6.9966980134715751E-2</v>
      </c>
      <c r="J83">
        <f t="shared" si="38"/>
        <v>1</v>
      </c>
      <c r="K83">
        <f t="shared" si="39"/>
        <v>0</v>
      </c>
    </row>
    <row r="84" spans="2:11" x14ac:dyDescent="0.25">
      <c r="B84" s="3">
        <f>IF(J83=1,B83-$A$42,B83+$A$42)</f>
        <v>0.61666666666666592</v>
      </c>
      <c r="C84" s="3">
        <f>IF(K83=1,C83-$A$42,C83+$A$42)</f>
        <v>0.71666666666666601</v>
      </c>
      <c r="D84" s="1">
        <f t="shared" si="34"/>
        <v>1.0474289484076462</v>
      </c>
      <c r="E84">
        <f t="shared" si="35"/>
        <v>0.49407276532365502</v>
      </c>
      <c r="F84" s="1">
        <f t="shared" si="40"/>
        <v>1.1411874001067459</v>
      </c>
      <c r="G84" s="1">
        <f t="shared" si="41"/>
        <v>0.42324310182301839</v>
      </c>
      <c r="H84">
        <f t="shared" si="36"/>
        <v>9.3758451699099687E-2</v>
      </c>
      <c r="I84">
        <f t="shared" si="37"/>
        <v>-7.082966350063663E-2</v>
      </c>
      <c r="J84">
        <f t="shared" si="38"/>
        <v>1</v>
      </c>
      <c r="K84">
        <f t="shared" si="39"/>
        <v>0</v>
      </c>
    </row>
    <row r="85" spans="2:11" x14ac:dyDescent="0.25">
      <c r="B85" s="3">
        <f>IF(J84=1,B84-$A$42,B84+$A$42)</f>
        <v>0.61566666666666592</v>
      </c>
      <c r="C85" s="3">
        <f>IF(K84=1,C84-$A$42,C84+$A$42)</f>
        <v>0.71766666666666601</v>
      </c>
      <c r="D85" s="1">
        <f t="shared" si="34"/>
        <v>1.0536058134766353</v>
      </c>
      <c r="E85">
        <f t="shared" si="35"/>
        <v>0.4895448502130319</v>
      </c>
      <c r="F85" s="1">
        <f t="shared" si="40"/>
        <v>1.1489277575412247</v>
      </c>
      <c r="G85" s="1">
        <f t="shared" si="41"/>
        <v>0.41787669877430456</v>
      </c>
      <c r="H85">
        <f t="shared" si="36"/>
        <v>9.5321944064589381E-2</v>
      </c>
      <c r="I85">
        <f t="shared" si="37"/>
        <v>-7.1668151438727346E-2</v>
      </c>
      <c r="J85">
        <f t="shared" si="38"/>
        <v>1</v>
      </c>
      <c r="K85">
        <f t="shared" si="39"/>
        <v>0</v>
      </c>
    </row>
    <row r="86" spans="2:11" x14ac:dyDescent="0.25">
      <c r="B86" s="3">
        <f>IF(J85=1,B85-$A$42,B85+$A$42)</f>
        <v>0.61466666666666592</v>
      </c>
      <c r="C86" s="3">
        <f>IF(K85=1,C85-$A$42,C85+$A$42)</f>
        <v>0.71866666666666601</v>
      </c>
      <c r="D86" s="1">
        <f t="shared" si="34"/>
        <v>1.0597877477326798</v>
      </c>
      <c r="E86">
        <f t="shared" si="35"/>
        <v>0.48504239015813649</v>
      </c>
      <c r="F86" s="1">
        <f t="shared" si="40"/>
        <v>1.1566486249750461</v>
      </c>
      <c r="G86" s="1">
        <f t="shared" si="41"/>
        <v>0.4125598821709302</v>
      </c>
      <c r="H86">
        <f t="shared" si="36"/>
        <v>9.686087724236625E-2</v>
      </c>
      <c r="I86">
        <f t="shared" si="37"/>
        <v>-7.2482507987206291E-2</v>
      </c>
      <c r="J86">
        <f t="shared" si="38"/>
        <v>1</v>
      </c>
      <c r="K86">
        <f t="shared" si="39"/>
        <v>0</v>
      </c>
    </row>
    <row r="87" spans="2:11" x14ac:dyDescent="0.25">
      <c r="B87" s="3">
        <f>IF(J86=1,B86-$A$42,B86+$A$42)</f>
        <v>0.61366666666666592</v>
      </c>
      <c r="C87" s="3">
        <f>IF(K86=1,C86-$A$42,C86+$A$42)</f>
        <v>0.71966666666666601</v>
      </c>
      <c r="D87" s="1">
        <f t="shared" si="34"/>
        <v>1.0659745473752988</v>
      </c>
      <c r="E87">
        <f t="shared" si="35"/>
        <v>0.48056547396112936</v>
      </c>
      <c r="F87" s="1">
        <f t="shared" si="40"/>
        <v>1.1643491479253685</v>
      </c>
      <c r="G87" s="1">
        <f t="shared" si="41"/>
        <v>0.40729266656991836</v>
      </c>
      <c r="H87">
        <f t="shared" si="36"/>
        <v>9.8374600550069635E-2</v>
      </c>
      <c r="I87">
        <f t="shared" si="37"/>
        <v>-7.3272807391211003E-2</v>
      </c>
      <c r="J87">
        <f t="shared" si="38"/>
        <v>1</v>
      </c>
      <c r="K87">
        <f t="shared" si="39"/>
        <v>0</v>
      </c>
    </row>
    <row r="88" spans="2:11" x14ac:dyDescent="0.25">
      <c r="B88" s="3">
        <f>IF(J87=1,B87-$A$42,B87+$A$42)</f>
        <v>0.61266666666666592</v>
      </c>
      <c r="C88" s="3">
        <f>IF(K87=1,C87-$A$42,C87+$A$42)</f>
        <v>0.72066666666666601</v>
      </c>
      <c r="D88" s="1">
        <f t="shared" si="34"/>
        <v>1.0721660107755675</v>
      </c>
      <c r="E88">
        <f t="shared" si="35"/>
        <v>0.47611418695398283</v>
      </c>
      <c r="F88" s="1">
        <f t="shared" si="40"/>
        <v>1.172028482311013</v>
      </c>
      <c r="G88" s="1">
        <f t="shared" si="41"/>
        <v>0.40207505308592179</v>
      </c>
      <c r="H88">
        <f t="shared" si="36"/>
        <v>9.9862471535445474E-2</v>
      </c>
      <c r="I88">
        <f t="shared" si="37"/>
        <v>-7.4039133868061047E-2</v>
      </c>
      <c r="J88">
        <f t="shared" si="38"/>
        <v>1</v>
      </c>
      <c r="K88">
        <f t="shared" si="39"/>
        <v>0</v>
      </c>
    </row>
    <row r="89" spans="2:11" x14ac:dyDescent="0.25">
      <c r="B89" s="3">
        <f>IF(J88=1,B88-$A$42,B88+$A$42)</f>
        <v>0.61166666666666591</v>
      </c>
      <c r="C89" s="3">
        <f>IF(K88=1,C88-$A$42,C88+$A$42)</f>
        <v>0.72166666666666601</v>
      </c>
      <c r="D89" s="1">
        <f t="shared" si="34"/>
        <v>1.0783619385272036</v>
      </c>
      <c r="E89">
        <f t="shared" si="35"/>
        <v>0.47168861099426529</v>
      </c>
      <c r="F89" s="1">
        <f t="shared" si="40"/>
        <v>1.1796857947697861</v>
      </c>
      <c r="G89" s="1">
        <f t="shared" si="41"/>
        <v>0.39690702962534574</v>
      </c>
      <c r="H89">
        <f t="shared" si="36"/>
        <v>0.10132385624258244</v>
      </c>
      <c r="I89">
        <f t="shared" si="37"/>
        <v>-7.4781581368919547E-2</v>
      </c>
      <c r="J89">
        <f t="shared" si="38"/>
        <v>1</v>
      </c>
      <c r="K89">
        <f t="shared" si="39"/>
        <v>0</v>
      </c>
    </row>
    <row r="90" spans="2:11" x14ac:dyDescent="0.25">
      <c r="B90" s="3">
        <f>IF(J89=1,B89-$A$42,B89+$A$42)</f>
        <v>0.61066666666666591</v>
      </c>
      <c r="C90" s="3">
        <f>IF(K89=1,C89-$A$42,C89+$A$42)</f>
        <v>0.72266666666666601</v>
      </c>
      <c r="D90" s="1">
        <f t="shared" si="34"/>
        <v>1.0845621334965581</v>
      </c>
      <c r="E90">
        <f t="shared" si="35"/>
        <v>0.46728882446231956</v>
      </c>
      <c r="F90" s="1">
        <f t="shared" si="40"/>
        <v>1.187320262965085</v>
      </c>
      <c r="G90" s="1">
        <f t="shared" si="41"/>
        <v>0.39178857112513232</v>
      </c>
      <c r="H90">
        <f t="shared" si="36"/>
        <v>0.10275812946852692</v>
      </c>
      <c r="I90">
        <f t="shared" si="37"/>
        <v>-7.550025333718724E-2</v>
      </c>
      <c r="J90">
        <f t="shared" si="38"/>
        <v>1</v>
      </c>
      <c r="K90">
        <f t="shared" si="39"/>
        <v>0</v>
      </c>
    </row>
    <row r="91" spans="2:11" x14ac:dyDescent="0.25">
      <c r="B91" s="3">
        <f>IF(J90=1,B90-$A$42,B90+$A$42)</f>
        <v>0.60966666666666591</v>
      </c>
      <c r="C91" s="3">
        <f>IF(K90=1,C90-$A$42,C90+$A$42)</f>
        <v>0.72366666666666601</v>
      </c>
      <c r="D91" s="1">
        <f t="shared" si="34"/>
        <v>1.0907664008714784</v>
      </c>
      <c r="E91">
        <f t="shared" si="35"/>
        <v>0.46291490225982024</v>
      </c>
      <c r="F91" s="1">
        <f t="shared" si="40"/>
        <v>1.1949310758816081</v>
      </c>
      <c r="G91" s="1">
        <f t="shared" si="41"/>
        <v>0.38671963979586449</v>
      </c>
      <c r="H91">
        <f t="shared" si="36"/>
        <v>0.10416467501012971</v>
      </c>
      <c r="I91">
        <f t="shared" si="37"/>
        <v>-7.6195262463955749E-2</v>
      </c>
      <c r="J91">
        <f t="shared" si="38"/>
        <v>1</v>
      </c>
      <c r="K91">
        <f t="shared" si="39"/>
        <v>0</v>
      </c>
    </row>
    <row r="92" spans="2:11" x14ac:dyDescent="0.25">
      <c r="B92" s="3">
        <f>IF(J91=1,B91-$A$42,B91+$A$42)</f>
        <v>0.60866666666666591</v>
      </c>
      <c r="C92" s="3">
        <f>IF(K91=1,C91-$A$42,C91+$A$42)</f>
        <v>0.72466666666666602</v>
      </c>
      <c r="D92" s="1">
        <f t="shared" si="34"/>
        <v>1.0969745482090416</v>
      </c>
      <c r="E92">
        <f t="shared" si="35"/>
        <v>0.45856691580970232</v>
      </c>
      <c r="F92" s="1">
        <f t="shared" si="40"/>
        <v>1.2025174341100247</v>
      </c>
      <c r="G92" s="1">
        <f t="shared" si="41"/>
        <v>0.38170018536885364</v>
      </c>
      <c r="H92">
        <f t="shared" si="36"/>
        <v>0.10554288590098304</v>
      </c>
      <c r="I92">
        <f t="shared" si="37"/>
        <v>-7.6866730440848685E-2</v>
      </c>
      <c r="J92">
        <f t="shared" si="38"/>
        <v>1</v>
      </c>
      <c r="K92">
        <f t="shared" si="39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Olner</dc:creator>
  <cp:lastModifiedBy>Dan Olner</cp:lastModifiedBy>
  <dcterms:created xsi:type="dcterms:W3CDTF">2013-05-16T11:59:50Z</dcterms:created>
  <dcterms:modified xsi:type="dcterms:W3CDTF">2013-05-16T19:59:02Z</dcterms:modified>
</cp:coreProperties>
</file>