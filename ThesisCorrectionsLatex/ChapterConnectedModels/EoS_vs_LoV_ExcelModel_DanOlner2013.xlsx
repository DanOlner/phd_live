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170" i="1" l="1"/>
  <c r="E170" i="1"/>
  <c r="E169" i="1"/>
  <c r="D169" i="1"/>
  <c r="G169" i="1" l="1"/>
  <c r="M169" i="1" s="1"/>
  <c r="F169" i="1"/>
  <c r="L169" i="1" s="1"/>
  <c r="E36" i="1"/>
  <c r="D36" i="1"/>
  <c r="E44" i="1"/>
  <c r="D44" i="1"/>
  <c r="B19" i="1"/>
  <c r="B20" i="1" s="1"/>
  <c r="C19" i="1"/>
  <c r="C20" i="1" s="1"/>
  <c r="C17" i="1"/>
  <c r="C16" i="1" s="1"/>
  <c r="C15" i="1" s="1"/>
  <c r="C14" i="1" s="1"/>
  <c r="C13" i="1" s="1"/>
  <c r="C12" i="1" s="1"/>
  <c r="C11" i="1" s="1"/>
  <c r="C10" i="1" s="1"/>
  <c r="C9" i="1" s="1"/>
  <c r="C8" i="1" s="1"/>
  <c r="C7" i="1" s="1"/>
  <c r="C6" i="1" s="1"/>
  <c r="C5" i="1" s="1"/>
  <c r="B17" i="1"/>
  <c r="D17" i="1" s="1"/>
  <c r="F17" i="1" s="1"/>
  <c r="D18" i="1"/>
  <c r="F18" i="1" s="1"/>
  <c r="E18" i="1"/>
  <c r="G18" i="1" s="1"/>
  <c r="F44" i="1" l="1"/>
  <c r="L44" i="1" s="1"/>
  <c r="G44" i="1"/>
  <c r="M44" i="1" s="1"/>
  <c r="I44" i="1"/>
  <c r="K44" i="1" s="1"/>
  <c r="I169" i="1"/>
  <c r="K169" i="1" s="1"/>
  <c r="C170" i="1" s="1"/>
  <c r="H169" i="1"/>
  <c r="J169" i="1" s="1"/>
  <c r="B170" i="1" s="1"/>
  <c r="F36" i="1"/>
  <c r="H36" i="1" s="1"/>
  <c r="G36" i="1"/>
  <c r="I36" i="1" s="1"/>
  <c r="C45" i="1"/>
  <c r="B21" i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D20" i="1"/>
  <c r="F20" i="1" s="1"/>
  <c r="E20" i="1"/>
  <c r="G20" i="1" s="1"/>
  <c r="B16" i="1"/>
  <c r="C21" i="1"/>
  <c r="C22" i="1" s="1"/>
  <c r="D19" i="1"/>
  <c r="F19" i="1" s="1"/>
  <c r="E19" i="1"/>
  <c r="G19" i="1" s="1"/>
  <c r="E17" i="1"/>
  <c r="G17" i="1" s="1"/>
  <c r="H18" i="1"/>
  <c r="I18" i="1"/>
  <c r="H44" i="1" l="1"/>
  <c r="J44" i="1" s="1"/>
  <c r="B45" i="1" s="1"/>
  <c r="D45" i="1" s="1"/>
  <c r="F170" i="1"/>
  <c r="L170" i="1" s="1"/>
  <c r="I17" i="1"/>
  <c r="H19" i="1"/>
  <c r="H20" i="1"/>
  <c r="H17" i="1"/>
  <c r="E21" i="1"/>
  <c r="G21" i="1" s="1"/>
  <c r="I20" i="1"/>
  <c r="D21" i="1"/>
  <c r="F21" i="1" s="1"/>
  <c r="B15" i="1"/>
  <c r="B14" i="1" s="1"/>
  <c r="B13" i="1" s="1"/>
  <c r="B12" i="1" s="1"/>
  <c r="B11" i="1" s="1"/>
  <c r="B10" i="1" s="1"/>
  <c r="B9" i="1" s="1"/>
  <c r="B8" i="1" s="1"/>
  <c r="B7" i="1" s="1"/>
  <c r="B6" i="1" s="1"/>
  <c r="B5" i="1" s="1"/>
  <c r="D16" i="1"/>
  <c r="F16" i="1" s="1"/>
  <c r="E16" i="1"/>
  <c r="G16" i="1" s="1"/>
  <c r="I19" i="1"/>
  <c r="D22" i="1"/>
  <c r="F22" i="1" s="1"/>
  <c r="E22" i="1"/>
  <c r="G22" i="1" s="1"/>
  <c r="C23" i="1"/>
  <c r="D15" i="1"/>
  <c r="F15" i="1" s="1"/>
  <c r="E45" i="1" l="1"/>
  <c r="G45" i="1" s="1"/>
  <c r="G170" i="1"/>
  <c r="M170" i="1" s="1"/>
  <c r="H170" i="1"/>
  <c r="J170" i="1" s="1"/>
  <c r="B171" i="1" s="1"/>
  <c r="F45" i="1"/>
  <c r="I21" i="1"/>
  <c r="I22" i="1"/>
  <c r="H21" i="1"/>
  <c r="I16" i="1"/>
  <c r="E15" i="1"/>
  <c r="G15" i="1" s="1"/>
  <c r="H16" i="1"/>
  <c r="C24" i="1"/>
  <c r="D23" i="1"/>
  <c r="F23" i="1" s="1"/>
  <c r="E23" i="1"/>
  <c r="G23" i="1" s="1"/>
  <c r="H22" i="1"/>
  <c r="D14" i="1"/>
  <c r="F14" i="1" s="1"/>
  <c r="E14" i="1"/>
  <c r="G14" i="1" s="1"/>
  <c r="H45" i="1" l="1"/>
  <c r="L45" i="1"/>
  <c r="I45" i="1"/>
  <c r="M45" i="1"/>
  <c r="I170" i="1"/>
  <c r="K170" i="1" s="1"/>
  <c r="C171" i="1" s="1"/>
  <c r="E171" i="1" s="1"/>
  <c r="H15" i="1"/>
  <c r="I15" i="1"/>
  <c r="I23" i="1"/>
  <c r="H23" i="1"/>
  <c r="C25" i="1"/>
  <c r="E24" i="1"/>
  <c r="G24" i="1" s="1"/>
  <c r="D24" i="1"/>
  <c r="F24" i="1" s="1"/>
  <c r="I14" i="1"/>
  <c r="H14" i="1"/>
  <c r="E13" i="1"/>
  <c r="G13" i="1" s="1"/>
  <c r="D13" i="1"/>
  <c r="F13" i="1" s="1"/>
  <c r="D171" i="1" l="1"/>
  <c r="H171" i="1" s="1"/>
  <c r="J171" i="1" s="1"/>
  <c r="B172" i="1" s="1"/>
  <c r="J45" i="1"/>
  <c r="B46" i="1" s="1"/>
  <c r="K45" i="1"/>
  <c r="C46" i="1" s="1"/>
  <c r="G171" i="1"/>
  <c r="M171" i="1" s="1"/>
  <c r="F171" i="1"/>
  <c r="L171" i="1" s="1"/>
  <c r="H13" i="1"/>
  <c r="H24" i="1"/>
  <c r="I24" i="1"/>
  <c r="E25" i="1"/>
  <c r="G25" i="1" s="1"/>
  <c r="C26" i="1"/>
  <c r="D25" i="1"/>
  <c r="F25" i="1" s="1"/>
  <c r="I13" i="1"/>
  <c r="D12" i="1"/>
  <c r="F12" i="1" s="1"/>
  <c r="E12" i="1"/>
  <c r="G12" i="1" s="1"/>
  <c r="D46" i="1" l="1"/>
  <c r="F46" i="1" s="1"/>
  <c r="E46" i="1"/>
  <c r="I46" i="1" s="1"/>
  <c r="G46" i="1"/>
  <c r="M46" i="1" s="1"/>
  <c r="I171" i="1"/>
  <c r="K171" i="1" s="1"/>
  <c r="C172" i="1" s="1"/>
  <c r="E172" i="1" s="1"/>
  <c r="I25" i="1"/>
  <c r="D26" i="1"/>
  <c r="F26" i="1" s="1"/>
  <c r="E26" i="1"/>
  <c r="G26" i="1" s="1"/>
  <c r="C27" i="1"/>
  <c r="H25" i="1"/>
  <c r="I12" i="1"/>
  <c r="E11" i="1"/>
  <c r="G11" i="1" s="1"/>
  <c r="D11" i="1"/>
  <c r="F11" i="1" s="1"/>
  <c r="H12" i="1"/>
  <c r="D172" i="1" l="1"/>
  <c r="H46" i="1"/>
  <c r="J46" i="1" s="1"/>
  <c r="B47" i="1" s="1"/>
  <c r="L46" i="1"/>
  <c r="G172" i="1"/>
  <c r="M172" i="1" s="1"/>
  <c r="F172" i="1"/>
  <c r="L172" i="1" s="1"/>
  <c r="K46" i="1"/>
  <c r="C47" i="1" s="1"/>
  <c r="H11" i="1"/>
  <c r="I26" i="1"/>
  <c r="C28" i="1"/>
  <c r="D27" i="1"/>
  <c r="F27" i="1" s="1"/>
  <c r="E27" i="1"/>
  <c r="G27" i="1" s="1"/>
  <c r="H26" i="1"/>
  <c r="D10" i="1"/>
  <c r="F10" i="1" s="1"/>
  <c r="E10" i="1"/>
  <c r="G10" i="1" s="1"/>
  <c r="I11" i="1"/>
  <c r="H172" i="1" l="1"/>
  <c r="J172" i="1" s="1"/>
  <c r="B173" i="1" s="1"/>
  <c r="D173" i="1" s="1"/>
  <c r="I172" i="1"/>
  <c r="K172" i="1" s="1"/>
  <c r="C173" i="1" s="1"/>
  <c r="D47" i="1"/>
  <c r="F47" i="1" s="1"/>
  <c r="L47" i="1" s="1"/>
  <c r="E47" i="1"/>
  <c r="G47" i="1"/>
  <c r="H27" i="1"/>
  <c r="I27" i="1"/>
  <c r="H10" i="1"/>
  <c r="C29" i="1"/>
  <c r="E28" i="1"/>
  <c r="G28" i="1" s="1"/>
  <c r="D28" i="1"/>
  <c r="F28" i="1" s="1"/>
  <c r="E9" i="1"/>
  <c r="G9" i="1" s="1"/>
  <c r="D9" i="1"/>
  <c r="F9" i="1" s="1"/>
  <c r="I10" i="1"/>
  <c r="E173" i="1" l="1"/>
  <c r="G173" i="1" s="1"/>
  <c r="M173" i="1" s="1"/>
  <c r="H47" i="1"/>
  <c r="J47" i="1" s="1"/>
  <c r="B48" i="1" s="1"/>
  <c r="I47" i="1"/>
  <c r="K47" i="1" s="1"/>
  <c r="C48" i="1" s="1"/>
  <c r="M47" i="1"/>
  <c r="I9" i="1"/>
  <c r="H28" i="1"/>
  <c r="I28" i="1"/>
  <c r="E29" i="1"/>
  <c r="G29" i="1" s="1"/>
  <c r="C30" i="1"/>
  <c r="D29" i="1"/>
  <c r="F29" i="1" s="1"/>
  <c r="D8" i="1"/>
  <c r="F8" i="1" s="1"/>
  <c r="E8" i="1"/>
  <c r="G8" i="1" s="1"/>
  <c r="H9" i="1"/>
  <c r="F173" i="1" l="1"/>
  <c r="L173" i="1" s="1"/>
  <c r="I173" i="1"/>
  <c r="K173" i="1" s="1"/>
  <c r="C174" i="1" s="1"/>
  <c r="E48" i="1"/>
  <c r="G48" i="1"/>
  <c r="D48" i="1"/>
  <c r="H29" i="1"/>
  <c r="H8" i="1"/>
  <c r="D30" i="1"/>
  <c r="F30" i="1" s="1"/>
  <c r="E30" i="1"/>
  <c r="G30" i="1" s="1"/>
  <c r="C31" i="1"/>
  <c r="I29" i="1"/>
  <c r="E7" i="1"/>
  <c r="G7" i="1" s="1"/>
  <c r="D7" i="1"/>
  <c r="F7" i="1" s="1"/>
  <c r="I8" i="1"/>
  <c r="E174" i="1" l="1"/>
  <c r="I48" i="1"/>
  <c r="K48" i="1" s="1"/>
  <c r="C49" i="1" s="1"/>
  <c r="M48" i="1"/>
  <c r="H173" i="1"/>
  <c r="J173" i="1" s="1"/>
  <c r="B174" i="1" s="1"/>
  <c r="D174" i="1" s="1"/>
  <c r="F48" i="1"/>
  <c r="H30" i="1"/>
  <c r="I30" i="1"/>
  <c r="C32" i="1"/>
  <c r="D31" i="1"/>
  <c r="F31" i="1" s="1"/>
  <c r="E31" i="1"/>
  <c r="G31" i="1" s="1"/>
  <c r="I7" i="1"/>
  <c r="D6" i="1"/>
  <c r="F6" i="1" s="1"/>
  <c r="E6" i="1"/>
  <c r="G6" i="1" s="1"/>
  <c r="H7" i="1"/>
  <c r="H48" i="1" l="1"/>
  <c r="J48" i="1" s="1"/>
  <c r="B49" i="1" s="1"/>
  <c r="L48" i="1"/>
  <c r="G174" i="1"/>
  <c r="M174" i="1" s="1"/>
  <c r="I31" i="1"/>
  <c r="C33" i="1"/>
  <c r="E32" i="1"/>
  <c r="G32" i="1" s="1"/>
  <c r="D32" i="1"/>
  <c r="F32" i="1" s="1"/>
  <c r="H31" i="1"/>
  <c r="H6" i="1"/>
  <c r="E5" i="1"/>
  <c r="G5" i="1" s="1"/>
  <c r="D5" i="1"/>
  <c r="F5" i="1" s="1"/>
  <c r="I6" i="1"/>
  <c r="F174" i="1" l="1"/>
  <c r="L174" i="1" s="1"/>
  <c r="I174" i="1"/>
  <c r="K174" i="1" s="1"/>
  <c r="C175" i="1" s="1"/>
  <c r="E49" i="1"/>
  <c r="D49" i="1"/>
  <c r="H32" i="1"/>
  <c r="I32" i="1"/>
  <c r="C34" i="1"/>
  <c r="D33" i="1"/>
  <c r="F33" i="1" s="1"/>
  <c r="E33" i="1"/>
  <c r="G33" i="1" s="1"/>
  <c r="H5" i="1"/>
  <c r="I5" i="1"/>
  <c r="H174" i="1" l="1"/>
  <c r="J174" i="1" s="1"/>
  <c r="B175" i="1" s="1"/>
  <c r="G49" i="1"/>
  <c r="M49" i="1" s="1"/>
  <c r="F49" i="1"/>
  <c r="H33" i="1"/>
  <c r="D34" i="1"/>
  <c r="F34" i="1" s="1"/>
  <c r="E34" i="1"/>
  <c r="G34" i="1" s="1"/>
  <c r="I33" i="1"/>
  <c r="D175" i="1" l="1"/>
  <c r="E175" i="1"/>
  <c r="G175" i="1" s="1"/>
  <c r="M175" i="1" s="1"/>
  <c r="F175" i="1"/>
  <c r="L175" i="1" s="1"/>
  <c r="H49" i="1"/>
  <c r="J49" i="1" s="1"/>
  <c r="L49" i="1"/>
  <c r="B50" i="1"/>
  <c r="I49" i="1"/>
  <c r="H34" i="1"/>
  <c r="I34" i="1"/>
  <c r="I175" i="1" l="1"/>
  <c r="K175" i="1" s="1"/>
  <c r="C176" i="1" s="1"/>
  <c r="H175" i="1"/>
  <c r="J175" i="1" s="1"/>
  <c r="B176" i="1" s="1"/>
  <c r="K49" i="1"/>
  <c r="C50" i="1" s="1"/>
  <c r="G176" i="1" l="1"/>
  <c r="M176" i="1" s="1"/>
  <c r="D176" i="1"/>
  <c r="F176" i="1" s="1"/>
  <c r="L176" i="1" s="1"/>
  <c r="E176" i="1"/>
  <c r="I176" i="1"/>
  <c r="K176" i="1" s="1"/>
  <c r="C177" i="1" s="1"/>
  <c r="E50" i="1"/>
  <c r="G50" i="1" s="1"/>
  <c r="M50" i="1" s="1"/>
  <c r="D50" i="1"/>
  <c r="F50" i="1" s="1"/>
  <c r="I50" i="1" l="1"/>
  <c r="K50" i="1" s="1"/>
  <c r="C51" i="1" s="1"/>
  <c r="H176" i="1"/>
  <c r="J176" i="1" s="1"/>
  <c r="B177" i="1" s="1"/>
  <c r="D177" i="1" s="1"/>
  <c r="H50" i="1"/>
  <c r="L50" i="1"/>
  <c r="J50" i="1"/>
  <c r="B51" i="1" s="1"/>
  <c r="F177" i="1" l="1"/>
  <c r="L177" i="1" s="1"/>
  <c r="E177" i="1"/>
  <c r="G177" i="1" s="1"/>
  <c r="M177" i="1" s="1"/>
  <c r="E51" i="1"/>
  <c r="H177" i="1"/>
  <c r="J177" i="1" s="1"/>
  <c r="B178" i="1" s="1"/>
  <c r="D51" i="1"/>
  <c r="F51" i="1" s="1"/>
  <c r="L51" i="1" s="1"/>
  <c r="G51" i="1"/>
  <c r="D178" i="1" l="1"/>
  <c r="I51" i="1"/>
  <c r="K51" i="1" s="1"/>
  <c r="C52" i="1" s="1"/>
  <c r="M51" i="1"/>
  <c r="I177" i="1"/>
  <c r="K177" i="1" s="1"/>
  <c r="C178" i="1" s="1"/>
  <c r="E178" i="1" s="1"/>
  <c r="H51" i="1"/>
  <c r="G178" i="1" l="1"/>
  <c r="M178" i="1" s="1"/>
  <c r="J51" i="1"/>
  <c r="B52" i="1" s="1"/>
  <c r="F178" i="1" l="1"/>
  <c r="L178" i="1" s="1"/>
  <c r="I178" i="1"/>
  <c r="K178" i="1" s="1"/>
  <c r="C179" i="1" s="1"/>
  <c r="D52" i="1"/>
  <c r="F52" i="1" s="1"/>
  <c r="L52" i="1" s="1"/>
  <c r="E52" i="1"/>
  <c r="G52" i="1"/>
  <c r="H178" i="1" l="1"/>
  <c r="J178" i="1" s="1"/>
  <c r="B179" i="1" s="1"/>
  <c r="D179" i="1" s="1"/>
  <c r="I52" i="1"/>
  <c r="K52" i="1" s="1"/>
  <c r="C53" i="1" s="1"/>
  <c r="M52" i="1"/>
  <c r="H52" i="1"/>
  <c r="J52" i="1" s="1"/>
  <c r="B53" i="1" s="1"/>
  <c r="E179" i="1" l="1"/>
  <c r="G179" i="1"/>
  <c r="M179" i="1" s="1"/>
  <c r="F179" i="1"/>
  <c r="L179" i="1" s="1"/>
  <c r="E53" i="1"/>
  <c r="G53" i="1"/>
  <c r="M53" i="1" s="1"/>
  <c r="I53" i="1"/>
  <c r="D53" i="1"/>
  <c r="H179" i="1" l="1"/>
  <c r="J179" i="1" s="1"/>
  <c r="B180" i="1" s="1"/>
  <c r="D180" i="1" s="1"/>
  <c r="I179" i="1"/>
  <c r="K179" i="1" s="1"/>
  <c r="C180" i="1" s="1"/>
  <c r="K53" i="1"/>
  <c r="C54" i="1" s="1"/>
  <c r="F53" i="1"/>
  <c r="L53" i="1" s="1"/>
  <c r="E180" i="1" l="1"/>
  <c r="G180" i="1" s="1"/>
  <c r="M180" i="1" s="1"/>
  <c r="H53" i="1"/>
  <c r="F180" i="1" l="1"/>
  <c r="L180" i="1" s="1"/>
  <c r="H180" i="1"/>
  <c r="J180" i="1" s="1"/>
  <c r="B181" i="1" s="1"/>
  <c r="D181" i="1" s="1"/>
  <c r="I180" i="1"/>
  <c r="K180" i="1" s="1"/>
  <c r="C181" i="1" s="1"/>
  <c r="J53" i="1"/>
  <c r="B54" i="1" s="1"/>
  <c r="D54" i="1" s="1"/>
  <c r="E181" i="1" l="1"/>
  <c r="F181" i="1"/>
  <c r="L181" i="1" s="1"/>
  <c r="E54" i="1"/>
  <c r="G54" i="1" s="1"/>
  <c r="F54" i="1"/>
  <c r="L54" i="1" s="1"/>
  <c r="H54" i="1"/>
  <c r="J54" i="1" s="1"/>
  <c r="I54" i="1" l="1"/>
  <c r="K54" i="1" s="1"/>
  <c r="M54" i="1"/>
  <c r="G181" i="1"/>
  <c r="M181" i="1" s="1"/>
  <c r="H181" i="1"/>
  <c r="J181" i="1" s="1"/>
  <c r="B182" i="1" s="1"/>
  <c r="B55" i="1"/>
  <c r="C55" i="1"/>
  <c r="I181" i="1" l="1"/>
  <c r="K181" i="1" s="1"/>
  <c r="C182" i="1" s="1"/>
  <c r="E182" i="1" s="1"/>
  <c r="E55" i="1"/>
  <c r="D55" i="1"/>
  <c r="F55" i="1" s="1"/>
  <c r="G55" i="1"/>
  <c r="D182" i="1" l="1"/>
  <c r="I55" i="1"/>
  <c r="K55" i="1" s="1"/>
  <c r="M55" i="1"/>
  <c r="H55" i="1"/>
  <c r="J55" i="1" s="1"/>
  <c r="B56" i="1" s="1"/>
  <c r="L55" i="1"/>
  <c r="C56" i="1"/>
  <c r="G182" i="1" l="1"/>
  <c r="M182" i="1" s="1"/>
  <c r="I182" i="1"/>
  <c r="K182" i="1" s="1"/>
  <c r="C183" i="1" s="1"/>
  <c r="E183" i="1" s="1"/>
  <c r="F182" i="1"/>
  <c r="L182" i="1" s="1"/>
  <c r="H182" i="1"/>
  <c r="J182" i="1" s="1"/>
  <c r="B183" i="1" s="1"/>
  <c r="E56" i="1"/>
  <c r="G56" i="1" s="1"/>
  <c r="M56" i="1" s="1"/>
  <c r="D56" i="1"/>
  <c r="D183" i="1" l="1"/>
  <c r="F183" i="1" s="1"/>
  <c r="L183" i="1" s="1"/>
  <c r="G183" i="1"/>
  <c r="M183" i="1" s="1"/>
  <c r="I56" i="1"/>
  <c r="F56" i="1"/>
  <c r="H56" i="1" l="1"/>
  <c r="J56" i="1" s="1"/>
  <c r="B57" i="1" s="1"/>
  <c r="L56" i="1"/>
  <c r="H183" i="1"/>
  <c r="J183" i="1" s="1"/>
  <c r="B184" i="1" s="1"/>
  <c r="D184" i="1" s="1"/>
  <c r="I183" i="1"/>
  <c r="K183" i="1" s="1"/>
  <c r="C184" i="1" s="1"/>
  <c r="E184" i="1" s="1"/>
  <c r="K56" i="1"/>
  <c r="C57" i="1" s="1"/>
  <c r="E57" i="1" l="1"/>
  <c r="G57" i="1" s="1"/>
  <c r="F184" i="1"/>
  <c r="L184" i="1" s="1"/>
  <c r="D57" i="1"/>
  <c r="F57" i="1" s="1"/>
  <c r="L57" i="1" s="1"/>
  <c r="I57" i="1" l="1"/>
  <c r="M57" i="1"/>
  <c r="H184" i="1"/>
  <c r="J184" i="1" s="1"/>
  <c r="B185" i="1" s="1"/>
  <c r="G184" i="1"/>
  <c r="M184" i="1" s="1"/>
  <c r="K57" i="1"/>
  <c r="C58" i="1" s="1"/>
  <c r="H57" i="1"/>
  <c r="I184" i="1" l="1"/>
  <c r="K184" i="1" s="1"/>
  <c r="C185" i="1" s="1"/>
  <c r="E185" i="1" s="1"/>
  <c r="J57" i="1"/>
  <c r="B58" i="1" s="1"/>
  <c r="D185" i="1" l="1"/>
  <c r="G185" i="1"/>
  <c r="M185" i="1" s="1"/>
  <c r="D58" i="1"/>
  <c r="F58" i="1" s="1"/>
  <c r="E58" i="1"/>
  <c r="G58" i="1" s="1"/>
  <c r="M58" i="1" s="1"/>
  <c r="H58" i="1" l="1"/>
  <c r="L58" i="1"/>
  <c r="F185" i="1"/>
  <c r="L185" i="1" s="1"/>
  <c r="I185" i="1"/>
  <c r="K185" i="1" s="1"/>
  <c r="C186" i="1" s="1"/>
  <c r="J58" i="1"/>
  <c r="B59" i="1" s="1"/>
  <c r="I58" i="1"/>
  <c r="H185" i="1" l="1"/>
  <c r="J185" i="1" s="1"/>
  <c r="B186" i="1" s="1"/>
  <c r="D186" i="1" s="1"/>
  <c r="K58" i="1"/>
  <c r="C59" i="1" s="1"/>
  <c r="E186" i="1" l="1"/>
  <c r="F186" i="1"/>
  <c r="L186" i="1" s="1"/>
  <c r="G186" i="1"/>
  <c r="M186" i="1" s="1"/>
  <c r="E59" i="1"/>
  <c r="G59" i="1" s="1"/>
  <c r="D59" i="1"/>
  <c r="F59" i="1" s="1"/>
  <c r="L59" i="1" s="1"/>
  <c r="H186" i="1" l="1"/>
  <c r="J186" i="1" s="1"/>
  <c r="B187" i="1" s="1"/>
  <c r="I59" i="1"/>
  <c r="K59" i="1" s="1"/>
  <c r="C60" i="1" s="1"/>
  <c r="M59" i="1"/>
  <c r="I186" i="1"/>
  <c r="K186" i="1" s="1"/>
  <c r="C187" i="1" s="1"/>
  <c r="E187" i="1" s="1"/>
  <c r="H59" i="1"/>
  <c r="D187" i="1" l="1"/>
  <c r="F187" i="1" s="1"/>
  <c r="L187" i="1" s="1"/>
  <c r="J59" i="1"/>
  <c r="B60" i="1" s="1"/>
  <c r="H187" i="1" l="1"/>
  <c r="J187" i="1" s="1"/>
  <c r="B188" i="1" s="1"/>
  <c r="E60" i="1"/>
  <c r="G60" i="1" s="1"/>
  <c r="D60" i="1"/>
  <c r="F60" i="1" s="1"/>
  <c r="I60" i="1" l="1"/>
  <c r="K60" i="1" s="1"/>
  <c r="M60" i="1"/>
  <c r="H60" i="1"/>
  <c r="J60" i="1" s="1"/>
  <c r="B61" i="1" s="1"/>
  <c r="L60" i="1"/>
  <c r="G187" i="1"/>
  <c r="M187" i="1" s="1"/>
  <c r="C61" i="1"/>
  <c r="I187" i="1" l="1"/>
  <c r="K187" i="1" s="1"/>
  <c r="C188" i="1" s="1"/>
  <c r="E61" i="1"/>
  <c r="G61" i="1" s="1"/>
  <c r="D61" i="1"/>
  <c r="E188" i="1" l="1"/>
  <c r="G188" i="1" s="1"/>
  <c r="M188" i="1" s="1"/>
  <c r="D188" i="1"/>
  <c r="I61" i="1"/>
  <c r="K61" i="1" s="1"/>
  <c r="C62" i="1" s="1"/>
  <c r="M61" i="1"/>
  <c r="F61" i="1"/>
  <c r="F188" i="1" l="1"/>
  <c r="L188" i="1" s="1"/>
  <c r="H188" i="1"/>
  <c r="J188" i="1" s="1"/>
  <c r="B189" i="1" s="1"/>
  <c r="I188" i="1"/>
  <c r="K188" i="1" s="1"/>
  <c r="C189" i="1" s="1"/>
  <c r="E189" i="1" s="1"/>
  <c r="H61" i="1"/>
  <c r="J61" i="1" s="1"/>
  <c r="B62" i="1" s="1"/>
  <c r="L61" i="1"/>
  <c r="G189" i="1" l="1"/>
  <c r="M189" i="1" s="1"/>
  <c r="D189" i="1"/>
  <c r="F189" i="1" s="1"/>
  <c r="L189" i="1" s="1"/>
  <c r="D62" i="1"/>
  <c r="F62" i="1" s="1"/>
  <c r="L62" i="1" s="1"/>
  <c r="E62" i="1"/>
  <c r="H189" i="1" l="1"/>
  <c r="J189" i="1" s="1"/>
  <c r="B190" i="1" s="1"/>
  <c r="I189" i="1"/>
  <c r="K189" i="1" s="1"/>
  <c r="C190" i="1" s="1"/>
  <c r="E190" i="1" s="1"/>
  <c r="G62" i="1"/>
  <c r="H62" i="1"/>
  <c r="D190" i="1" l="1"/>
  <c r="F190" i="1" s="1"/>
  <c r="L190" i="1" s="1"/>
  <c r="I62" i="1"/>
  <c r="K62" i="1" s="1"/>
  <c r="M62" i="1"/>
  <c r="G190" i="1"/>
  <c r="M190" i="1" s="1"/>
  <c r="J62" i="1"/>
  <c r="B63" i="1" s="1"/>
  <c r="C63" i="1"/>
  <c r="H190" i="1" l="1"/>
  <c r="J190" i="1" s="1"/>
  <c r="B191" i="1" s="1"/>
  <c r="D191" i="1" s="1"/>
  <c r="I190" i="1"/>
  <c r="K190" i="1" s="1"/>
  <c r="C191" i="1" s="1"/>
  <c r="E191" i="1" s="1"/>
  <c r="E63" i="1"/>
  <c r="G63" i="1" s="1"/>
  <c r="D63" i="1"/>
  <c r="I63" i="1" l="1"/>
  <c r="K63" i="1" s="1"/>
  <c r="M63" i="1"/>
  <c r="F191" i="1"/>
  <c r="L191" i="1" s="1"/>
  <c r="F63" i="1"/>
  <c r="L63" i="1" s="1"/>
  <c r="C64" i="1"/>
  <c r="G191" i="1" l="1"/>
  <c r="M191" i="1" s="1"/>
  <c r="H191" i="1"/>
  <c r="J191" i="1" s="1"/>
  <c r="B192" i="1" s="1"/>
  <c r="H63" i="1"/>
  <c r="I191" i="1" l="1"/>
  <c r="K191" i="1" s="1"/>
  <c r="C192" i="1" s="1"/>
  <c r="E192" i="1" s="1"/>
  <c r="J63" i="1"/>
  <c r="B64" i="1" s="1"/>
  <c r="D192" i="1" l="1"/>
  <c r="G192" i="1"/>
  <c r="M192" i="1" s="1"/>
  <c r="D64" i="1"/>
  <c r="F64" i="1" s="1"/>
  <c r="L64" i="1" s="1"/>
  <c r="E64" i="1"/>
  <c r="G64" i="1" s="1"/>
  <c r="M64" i="1" s="1"/>
  <c r="H64" i="1" l="1"/>
  <c r="F192" i="1"/>
  <c r="L192" i="1" s="1"/>
  <c r="I192" i="1"/>
  <c r="K192" i="1" s="1"/>
  <c r="C193" i="1" s="1"/>
  <c r="J64" i="1"/>
  <c r="B65" i="1" s="1"/>
  <c r="I64" i="1"/>
  <c r="H192" i="1" l="1"/>
  <c r="J192" i="1" s="1"/>
  <c r="B193" i="1" s="1"/>
  <c r="D193" i="1" s="1"/>
  <c r="K64" i="1"/>
  <c r="C65" i="1" s="1"/>
  <c r="E193" i="1" l="1"/>
  <c r="G193" i="1" s="1"/>
  <c r="M193" i="1" s="1"/>
  <c r="F193" i="1"/>
  <c r="L193" i="1" s="1"/>
  <c r="E65" i="1"/>
  <c r="G65" i="1" s="1"/>
  <c r="D65" i="1"/>
  <c r="F65" i="1" s="1"/>
  <c r="L65" i="1" s="1"/>
  <c r="I65" i="1" l="1"/>
  <c r="K65" i="1" s="1"/>
  <c r="M65" i="1"/>
  <c r="H193" i="1"/>
  <c r="J193" i="1" s="1"/>
  <c r="B194" i="1" s="1"/>
  <c r="I193" i="1"/>
  <c r="K193" i="1" s="1"/>
  <c r="C194" i="1" s="1"/>
  <c r="E194" i="1" s="1"/>
  <c r="C66" i="1"/>
  <c r="H65" i="1"/>
  <c r="D194" i="1" l="1"/>
  <c r="G194" i="1"/>
  <c r="M194" i="1" s="1"/>
  <c r="J65" i="1"/>
  <c r="B66" i="1" s="1"/>
  <c r="F194" i="1" l="1"/>
  <c r="L194" i="1" s="1"/>
  <c r="I194" i="1"/>
  <c r="K194" i="1" s="1"/>
  <c r="C195" i="1" s="1"/>
  <c r="D66" i="1"/>
  <c r="F66" i="1" s="1"/>
  <c r="E66" i="1"/>
  <c r="G66" i="1" s="1"/>
  <c r="H194" i="1" l="1"/>
  <c r="J194" i="1" s="1"/>
  <c r="B195" i="1" s="1"/>
  <c r="D195" i="1" s="1"/>
  <c r="I66" i="1"/>
  <c r="K66" i="1" s="1"/>
  <c r="C67" i="1" s="1"/>
  <c r="M66" i="1"/>
  <c r="H66" i="1"/>
  <c r="J66" i="1" s="1"/>
  <c r="B67" i="1" s="1"/>
  <c r="L66" i="1"/>
  <c r="E195" i="1" l="1"/>
  <c r="G195" i="1" s="1"/>
  <c r="M195" i="1" s="1"/>
  <c r="F195" i="1"/>
  <c r="L195" i="1" s="1"/>
  <c r="E67" i="1"/>
  <c r="G67" i="1" s="1"/>
  <c r="D67" i="1"/>
  <c r="F67" i="1" s="1"/>
  <c r="L67" i="1" s="1"/>
  <c r="H195" i="1" l="1"/>
  <c r="J195" i="1" s="1"/>
  <c r="B196" i="1" s="1"/>
  <c r="I67" i="1"/>
  <c r="K67" i="1" s="1"/>
  <c r="M67" i="1"/>
  <c r="I195" i="1"/>
  <c r="K195" i="1" s="1"/>
  <c r="C196" i="1" s="1"/>
  <c r="E196" i="1" s="1"/>
  <c r="H67" i="1"/>
  <c r="C68" i="1"/>
  <c r="D196" i="1" l="1"/>
  <c r="F196" i="1"/>
  <c r="L196" i="1" s="1"/>
  <c r="J67" i="1"/>
  <c r="B68" i="1" s="1"/>
  <c r="H196" i="1" l="1"/>
  <c r="J196" i="1" s="1"/>
  <c r="B197" i="1" s="1"/>
  <c r="G196" i="1"/>
  <c r="M196" i="1" s="1"/>
  <c r="E68" i="1"/>
  <c r="G68" i="1" s="1"/>
  <c r="M68" i="1" s="1"/>
  <c r="D68" i="1"/>
  <c r="F68" i="1" s="1"/>
  <c r="H68" i="1" l="1"/>
  <c r="J68" i="1" s="1"/>
  <c r="B69" i="1" s="1"/>
  <c r="L68" i="1"/>
  <c r="I68" i="1"/>
  <c r="I196" i="1"/>
  <c r="K196" i="1" s="1"/>
  <c r="C197" i="1" s="1"/>
  <c r="E197" i="1" s="1"/>
  <c r="K68" i="1"/>
  <c r="C69" i="1" s="1"/>
  <c r="D197" i="1" l="1"/>
  <c r="E69" i="1"/>
  <c r="G69" i="1" s="1"/>
  <c r="F197" i="1"/>
  <c r="L197" i="1" s="1"/>
  <c r="G197" i="1"/>
  <c r="M197" i="1" s="1"/>
  <c r="D69" i="1"/>
  <c r="F69" i="1" s="1"/>
  <c r="L69" i="1" s="1"/>
  <c r="I69" i="1" l="1"/>
  <c r="K69" i="1" s="1"/>
  <c r="M69" i="1"/>
  <c r="I197" i="1"/>
  <c r="K197" i="1" s="1"/>
  <c r="C198" i="1" s="1"/>
  <c r="H197" i="1"/>
  <c r="J197" i="1" s="1"/>
  <c r="B198" i="1" s="1"/>
  <c r="D198" i="1" s="1"/>
  <c r="C70" i="1"/>
  <c r="H69" i="1"/>
  <c r="E198" i="1" l="1"/>
  <c r="F198" i="1"/>
  <c r="L198" i="1" s="1"/>
  <c r="J69" i="1"/>
  <c r="B70" i="1" s="1"/>
  <c r="G198" i="1" l="1"/>
  <c r="M198" i="1" s="1"/>
  <c r="H198" i="1"/>
  <c r="J198" i="1" s="1"/>
  <c r="B199" i="1" s="1"/>
  <c r="E70" i="1"/>
  <c r="G70" i="1" s="1"/>
  <c r="D70" i="1"/>
  <c r="F70" i="1" s="1"/>
  <c r="I70" i="1" l="1"/>
  <c r="K70" i="1" s="1"/>
  <c r="M70" i="1"/>
  <c r="H70" i="1"/>
  <c r="J70" i="1" s="1"/>
  <c r="B71" i="1" s="1"/>
  <c r="L70" i="1"/>
  <c r="I198" i="1"/>
  <c r="K198" i="1" s="1"/>
  <c r="C199" i="1" s="1"/>
  <c r="E199" i="1" s="1"/>
  <c r="C71" i="1"/>
  <c r="D199" i="1" l="1"/>
  <c r="E71" i="1"/>
  <c r="G71" i="1" s="1"/>
  <c r="M71" i="1" s="1"/>
  <c r="D71" i="1"/>
  <c r="I71" i="1" l="1"/>
  <c r="K71" i="1" s="1"/>
  <c r="F199" i="1"/>
  <c r="L199" i="1" s="1"/>
  <c r="G199" i="1"/>
  <c r="M199" i="1" s="1"/>
  <c r="C72" i="1"/>
  <c r="F71" i="1"/>
  <c r="H71" i="1" l="1"/>
  <c r="J71" i="1" s="1"/>
  <c r="L71" i="1"/>
  <c r="I199" i="1"/>
  <c r="K199" i="1" s="1"/>
  <c r="C200" i="1" s="1"/>
  <c r="H199" i="1"/>
  <c r="J199" i="1" s="1"/>
  <c r="B200" i="1" s="1"/>
  <c r="D200" i="1" s="1"/>
  <c r="B72" i="1"/>
  <c r="E72" i="1" s="1"/>
  <c r="E200" i="1" l="1"/>
  <c r="F200" i="1"/>
  <c r="L200" i="1" s="1"/>
  <c r="G72" i="1"/>
  <c r="M72" i="1" s="1"/>
  <c r="D72" i="1"/>
  <c r="I72" i="1" l="1"/>
  <c r="K72" i="1" s="1"/>
  <c r="G200" i="1"/>
  <c r="M200" i="1" s="1"/>
  <c r="H200" i="1"/>
  <c r="J200" i="1" s="1"/>
  <c r="B201" i="1" s="1"/>
  <c r="F72" i="1"/>
  <c r="L72" i="1" s="1"/>
  <c r="C73" i="1"/>
  <c r="I200" i="1" l="1"/>
  <c r="K200" i="1" s="1"/>
  <c r="C201" i="1" s="1"/>
  <c r="E201" i="1" s="1"/>
  <c r="H72" i="1"/>
  <c r="D201" i="1" l="1"/>
  <c r="G201" i="1"/>
  <c r="M201" i="1" s="1"/>
  <c r="J72" i="1"/>
  <c r="B73" i="1" s="1"/>
  <c r="F201" i="1" l="1"/>
  <c r="L201" i="1" s="1"/>
  <c r="I201" i="1"/>
  <c r="K201" i="1" s="1"/>
  <c r="C202" i="1" s="1"/>
  <c r="E73" i="1"/>
  <c r="G73" i="1" s="1"/>
  <c r="D73" i="1"/>
  <c r="I73" i="1" l="1"/>
  <c r="K73" i="1" s="1"/>
  <c r="M73" i="1"/>
  <c r="H201" i="1"/>
  <c r="J201" i="1" s="1"/>
  <c r="B202" i="1" s="1"/>
  <c r="D202" i="1" s="1"/>
  <c r="F73" i="1"/>
  <c r="C74" i="1"/>
  <c r="E202" i="1" l="1"/>
  <c r="H73" i="1"/>
  <c r="J73" i="1" s="1"/>
  <c r="B74" i="1" s="1"/>
  <c r="L73" i="1"/>
  <c r="F202" i="1"/>
  <c r="L202" i="1" s="1"/>
  <c r="G202" i="1" l="1"/>
  <c r="M202" i="1" s="1"/>
  <c r="H202" i="1"/>
  <c r="J202" i="1" s="1"/>
  <c r="B203" i="1" s="1"/>
  <c r="D74" i="1"/>
  <c r="F74" i="1" s="1"/>
  <c r="L74" i="1" s="1"/>
  <c r="E74" i="1"/>
  <c r="G74" i="1" s="1"/>
  <c r="H74" i="1" l="1"/>
  <c r="I74" i="1"/>
  <c r="K74" i="1" s="1"/>
  <c r="C75" i="1" s="1"/>
  <c r="M74" i="1"/>
  <c r="I202" i="1"/>
  <c r="K202" i="1" s="1"/>
  <c r="C203" i="1" s="1"/>
  <c r="E203" i="1" s="1"/>
  <c r="J74" i="1"/>
  <c r="B75" i="1" s="1"/>
  <c r="D203" i="1" l="1"/>
  <c r="E75" i="1"/>
  <c r="G75" i="1" s="1"/>
  <c r="D75" i="1"/>
  <c r="F75" i="1" s="1"/>
  <c r="L75" i="1" s="1"/>
  <c r="I75" i="1" l="1"/>
  <c r="K75" i="1" s="1"/>
  <c r="C76" i="1" s="1"/>
  <c r="M75" i="1"/>
  <c r="F203" i="1"/>
  <c r="L203" i="1" s="1"/>
  <c r="G203" i="1"/>
  <c r="M203" i="1" s="1"/>
  <c r="H75" i="1"/>
  <c r="I203" i="1" l="1"/>
  <c r="K203" i="1" s="1"/>
  <c r="C204" i="1" s="1"/>
  <c r="E204" i="1" s="1"/>
  <c r="H203" i="1"/>
  <c r="J203" i="1" s="1"/>
  <c r="B204" i="1" s="1"/>
  <c r="D204" i="1" s="1"/>
  <c r="J75" i="1"/>
  <c r="B76" i="1" s="1"/>
  <c r="F204" i="1" l="1"/>
  <c r="L204" i="1" s="1"/>
  <c r="D76" i="1"/>
  <c r="F76" i="1" s="1"/>
  <c r="L76" i="1" s="1"/>
  <c r="E76" i="1"/>
  <c r="G76" i="1" s="1"/>
  <c r="I76" i="1" l="1"/>
  <c r="K76" i="1" s="1"/>
  <c r="C77" i="1" s="1"/>
  <c r="M76" i="1"/>
  <c r="H76" i="1"/>
  <c r="J76" i="1" s="1"/>
  <c r="B77" i="1" s="1"/>
  <c r="G204" i="1"/>
  <c r="M204" i="1" s="1"/>
  <c r="H204" i="1"/>
  <c r="J204" i="1" s="1"/>
  <c r="B205" i="1" s="1"/>
  <c r="I204" i="1" l="1"/>
  <c r="K204" i="1" s="1"/>
  <c r="C205" i="1" s="1"/>
  <c r="E205" i="1" s="1"/>
  <c r="E77" i="1"/>
  <c r="D77" i="1"/>
  <c r="F77" i="1" s="1"/>
  <c r="L77" i="1" s="1"/>
  <c r="G77" i="1"/>
  <c r="D205" i="1" l="1"/>
  <c r="I77" i="1"/>
  <c r="K77" i="1" s="1"/>
  <c r="M77" i="1"/>
  <c r="G205" i="1"/>
  <c r="M205" i="1" s="1"/>
  <c r="H77" i="1"/>
  <c r="C78" i="1"/>
  <c r="F205" i="1" l="1"/>
  <c r="L205" i="1" s="1"/>
  <c r="I205" i="1"/>
  <c r="K205" i="1" s="1"/>
  <c r="C206" i="1" s="1"/>
  <c r="J77" i="1"/>
  <c r="B78" i="1" s="1"/>
  <c r="H205" i="1" l="1"/>
  <c r="J205" i="1" s="1"/>
  <c r="B206" i="1" s="1"/>
  <c r="D206" i="1" s="1"/>
  <c r="E78" i="1"/>
  <c r="G78" i="1" s="1"/>
  <c r="D78" i="1"/>
  <c r="F78" i="1" s="1"/>
  <c r="E206" i="1" l="1"/>
  <c r="H78" i="1"/>
  <c r="J78" i="1" s="1"/>
  <c r="B79" i="1" s="1"/>
  <c r="L78" i="1"/>
  <c r="I78" i="1"/>
  <c r="K78" i="1" s="1"/>
  <c r="C79" i="1" s="1"/>
  <c r="M78" i="1"/>
  <c r="F206" i="1"/>
  <c r="L206" i="1" s="1"/>
  <c r="E79" i="1" l="1"/>
  <c r="G79" i="1" s="1"/>
  <c r="G206" i="1"/>
  <c r="M206" i="1" s="1"/>
  <c r="H206" i="1"/>
  <c r="J206" i="1" s="1"/>
  <c r="B207" i="1" s="1"/>
  <c r="D79" i="1"/>
  <c r="F79" i="1" s="1"/>
  <c r="L79" i="1" s="1"/>
  <c r="I79" i="1" l="1"/>
  <c r="K79" i="1" s="1"/>
  <c r="M79" i="1"/>
  <c r="I206" i="1"/>
  <c r="K206" i="1" s="1"/>
  <c r="C207" i="1" s="1"/>
  <c r="E207" i="1" s="1"/>
  <c r="C80" i="1"/>
  <c r="H79" i="1"/>
  <c r="D207" i="1" l="1"/>
  <c r="G207" i="1"/>
  <c r="M207" i="1" s="1"/>
  <c r="J79" i="1"/>
  <c r="B80" i="1" s="1"/>
  <c r="F207" i="1" l="1"/>
  <c r="L207" i="1" s="1"/>
  <c r="I207" i="1"/>
  <c r="K207" i="1" s="1"/>
  <c r="C208" i="1" s="1"/>
  <c r="E80" i="1"/>
  <c r="G80" i="1" s="1"/>
  <c r="D80" i="1"/>
  <c r="F80" i="1" s="1"/>
  <c r="L80" i="1" s="1"/>
  <c r="I80" i="1" l="1"/>
  <c r="K80" i="1" s="1"/>
  <c r="C81" i="1" s="1"/>
  <c r="M80" i="1"/>
  <c r="H207" i="1"/>
  <c r="J207" i="1" s="1"/>
  <c r="B208" i="1" s="1"/>
  <c r="D208" i="1" s="1"/>
  <c r="H80" i="1"/>
  <c r="E208" i="1" l="1"/>
  <c r="F208" i="1"/>
  <c r="L208" i="1" s="1"/>
  <c r="J80" i="1"/>
  <c r="B81" i="1" s="1"/>
  <c r="G208" i="1" l="1"/>
  <c r="M208" i="1" s="1"/>
  <c r="H208" i="1"/>
  <c r="J208" i="1" s="1"/>
  <c r="B209" i="1" s="1"/>
  <c r="E81" i="1"/>
  <c r="D81" i="1"/>
  <c r="F81" i="1" s="1"/>
  <c r="H81" i="1" l="1"/>
  <c r="J81" i="1" s="1"/>
  <c r="B82" i="1" s="1"/>
  <c r="L81" i="1"/>
  <c r="I208" i="1"/>
  <c r="K208" i="1" s="1"/>
  <c r="C209" i="1" s="1"/>
  <c r="E209" i="1" s="1"/>
  <c r="G81" i="1"/>
  <c r="M81" i="1" s="1"/>
  <c r="I81" i="1" l="1"/>
  <c r="D209" i="1"/>
  <c r="K81" i="1"/>
  <c r="C82" i="1" s="1"/>
  <c r="F209" i="1" l="1"/>
  <c r="L209" i="1" s="1"/>
  <c r="G209" i="1"/>
  <c r="M209" i="1" s="1"/>
  <c r="E82" i="1"/>
  <c r="G82" i="1"/>
  <c r="M82" i="1" s="1"/>
  <c r="D82" i="1"/>
  <c r="I209" i="1" l="1"/>
  <c r="K209" i="1" s="1"/>
  <c r="C210" i="1" s="1"/>
  <c r="H209" i="1"/>
  <c r="J209" i="1" s="1"/>
  <c r="B210" i="1" s="1"/>
  <c r="D210" i="1" s="1"/>
  <c r="F82" i="1"/>
  <c r="L82" i="1" s="1"/>
  <c r="H82" i="1"/>
  <c r="I82" i="1"/>
  <c r="K82" i="1" s="1"/>
  <c r="C83" i="1" s="1"/>
  <c r="E210" i="1" l="1"/>
  <c r="F210" i="1"/>
  <c r="L210" i="1" s="1"/>
  <c r="J82" i="1"/>
  <c r="B83" i="1" s="1"/>
  <c r="G210" i="1" l="1"/>
  <c r="M210" i="1" s="1"/>
  <c r="H210" i="1"/>
  <c r="J210" i="1" s="1"/>
  <c r="B211" i="1" s="1"/>
  <c r="D83" i="1"/>
  <c r="E83" i="1"/>
  <c r="G83" i="1" s="1"/>
  <c r="I83" i="1" l="1"/>
  <c r="K83" i="1" s="1"/>
  <c r="C84" i="1" s="1"/>
  <c r="M83" i="1"/>
  <c r="I210" i="1"/>
  <c r="K210" i="1" s="1"/>
  <c r="C211" i="1" s="1"/>
  <c r="E211" i="1" s="1"/>
  <c r="F83" i="1"/>
  <c r="D211" i="1" l="1"/>
  <c r="H83" i="1"/>
  <c r="J83" i="1" s="1"/>
  <c r="B84" i="1" s="1"/>
  <c r="L83" i="1"/>
  <c r="G211" i="1"/>
  <c r="M211" i="1" s="1"/>
  <c r="F211" i="1" l="1"/>
  <c r="L211" i="1" s="1"/>
  <c r="I211" i="1"/>
  <c r="K211" i="1" s="1"/>
  <c r="C212" i="1" s="1"/>
  <c r="D84" i="1"/>
  <c r="E84" i="1"/>
  <c r="G84" i="1" s="1"/>
  <c r="I84" i="1" l="1"/>
  <c r="K84" i="1" s="1"/>
  <c r="C85" i="1" s="1"/>
  <c r="M84" i="1"/>
  <c r="H211" i="1"/>
  <c r="J211" i="1" s="1"/>
  <c r="B212" i="1" s="1"/>
  <c r="D212" i="1" s="1"/>
  <c r="F84" i="1"/>
  <c r="E212" i="1" l="1"/>
  <c r="H84" i="1"/>
  <c r="J84" i="1" s="1"/>
  <c r="B85" i="1" s="1"/>
  <c r="L84" i="1"/>
  <c r="F212" i="1"/>
  <c r="L212" i="1" s="1"/>
  <c r="G212" i="1" l="1"/>
  <c r="M212" i="1" s="1"/>
  <c r="H212" i="1"/>
  <c r="J212" i="1" s="1"/>
  <c r="B213" i="1" s="1"/>
  <c r="D85" i="1"/>
  <c r="F85" i="1" s="1"/>
  <c r="L85" i="1" s="1"/>
  <c r="E85" i="1"/>
  <c r="G85" i="1" s="1"/>
  <c r="I85" i="1" l="1"/>
  <c r="K85" i="1" s="1"/>
  <c r="C86" i="1" s="1"/>
  <c r="M85" i="1"/>
  <c r="I212" i="1"/>
  <c r="K212" i="1" s="1"/>
  <c r="C213" i="1" s="1"/>
  <c r="E213" i="1" s="1"/>
  <c r="H85" i="1"/>
  <c r="D213" i="1" l="1"/>
  <c r="F213" i="1" s="1"/>
  <c r="L213" i="1" s="1"/>
  <c r="J85" i="1"/>
  <c r="B86" i="1" s="1"/>
  <c r="H213" i="1" l="1"/>
  <c r="J213" i="1" s="1"/>
  <c r="B214" i="1" s="1"/>
  <c r="G213" i="1"/>
  <c r="M213" i="1" s="1"/>
  <c r="D86" i="1"/>
  <c r="E86" i="1"/>
  <c r="G86" i="1" s="1"/>
  <c r="I86" i="1" l="1"/>
  <c r="K86" i="1" s="1"/>
  <c r="C87" i="1" s="1"/>
  <c r="M86" i="1"/>
  <c r="I213" i="1"/>
  <c r="K213" i="1" s="1"/>
  <c r="C214" i="1" s="1"/>
  <c r="E214" i="1" s="1"/>
  <c r="F86" i="1"/>
  <c r="D214" i="1" l="1"/>
  <c r="H86" i="1"/>
  <c r="L86" i="1"/>
  <c r="G214" i="1"/>
  <c r="M214" i="1" s="1"/>
  <c r="J86" i="1"/>
  <c r="B87" i="1" s="1"/>
  <c r="I214" i="1" l="1"/>
  <c r="K214" i="1" s="1"/>
  <c r="C215" i="1" s="1"/>
  <c r="F214" i="1"/>
  <c r="L214" i="1" s="1"/>
  <c r="D87" i="1"/>
  <c r="F87" i="1"/>
  <c r="L87" i="1" s="1"/>
  <c r="E87" i="1"/>
  <c r="H214" i="1" l="1"/>
  <c r="J214" i="1" s="1"/>
  <c r="B215" i="1" s="1"/>
  <c r="G87" i="1"/>
  <c r="H87" i="1"/>
  <c r="D215" i="1" l="1"/>
  <c r="F215" i="1" s="1"/>
  <c r="L215" i="1" s="1"/>
  <c r="E215" i="1"/>
  <c r="G215" i="1" s="1"/>
  <c r="M215" i="1" s="1"/>
  <c r="I87" i="1"/>
  <c r="K87" i="1" s="1"/>
  <c r="C88" i="1" s="1"/>
  <c r="M87" i="1"/>
  <c r="J87" i="1"/>
  <c r="B88" i="1" s="1"/>
  <c r="I215" i="1" l="1"/>
  <c r="K215" i="1" s="1"/>
  <c r="C216" i="1" s="1"/>
  <c r="E216" i="1" s="1"/>
  <c r="H215" i="1"/>
  <c r="J215" i="1" s="1"/>
  <c r="B216" i="1" s="1"/>
  <c r="D216" i="1" s="1"/>
  <c r="D88" i="1"/>
  <c r="F88" i="1" s="1"/>
  <c r="E88" i="1"/>
  <c r="G88" i="1" s="1"/>
  <c r="H88" i="1" l="1"/>
  <c r="J88" i="1" s="1"/>
  <c r="B89" i="1" s="1"/>
  <c r="E89" i="1" s="1"/>
  <c r="L88" i="1"/>
  <c r="I88" i="1"/>
  <c r="K88" i="1" s="1"/>
  <c r="C89" i="1" s="1"/>
  <c r="M88" i="1"/>
  <c r="D89" i="1" l="1"/>
  <c r="F89" i="1" s="1"/>
  <c r="L89" i="1" s="1"/>
  <c r="G89" i="1"/>
  <c r="I89" i="1"/>
  <c r="M89" i="1"/>
  <c r="H89" i="1"/>
  <c r="J89" i="1" s="1"/>
  <c r="B90" i="1" s="1"/>
  <c r="G216" i="1"/>
  <c r="M216" i="1" s="1"/>
  <c r="F216" i="1"/>
  <c r="L216" i="1" s="1"/>
  <c r="K89" i="1"/>
  <c r="C90" i="1" s="1"/>
  <c r="I216" i="1" l="1"/>
  <c r="K216" i="1" s="1"/>
  <c r="C217" i="1" s="1"/>
  <c r="H216" i="1"/>
  <c r="J216" i="1" s="1"/>
  <c r="B217" i="1" s="1"/>
  <c r="D217" i="1" s="1"/>
  <c r="D90" i="1"/>
  <c r="E90" i="1"/>
  <c r="E217" i="1" l="1"/>
  <c r="F90" i="1"/>
  <c r="G90" i="1"/>
  <c r="I90" i="1" l="1"/>
  <c r="M90" i="1"/>
  <c r="H90" i="1"/>
  <c r="J90" i="1" s="1"/>
  <c r="B91" i="1" s="1"/>
  <c r="L90" i="1"/>
  <c r="G217" i="1"/>
  <c r="M217" i="1" s="1"/>
  <c r="F217" i="1"/>
  <c r="L217" i="1" s="1"/>
  <c r="K90" i="1"/>
  <c r="C91" i="1" s="1"/>
  <c r="H217" i="1" l="1"/>
  <c r="J217" i="1" s="1"/>
  <c r="B218" i="1" s="1"/>
  <c r="I217" i="1"/>
  <c r="K217" i="1" s="1"/>
  <c r="C218" i="1" s="1"/>
  <c r="E218" i="1" s="1"/>
  <c r="E91" i="1"/>
  <c r="D91" i="1"/>
  <c r="F91" i="1" s="1"/>
  <c r="D218" i="1" l="1"/>
  <c r="H91" i="1"/>
  <c r="J91" i="1" s="1"/>
  <c r="B92" i="1" s="1"/>
  <c r="L91" i="1"/>
  <c r="G218" i="1"/>
  <c r="M218" i="1" s="1"/>
  <c r="G91" i="1"/>
  <c r="I91" i="1" l="1"/>
  <c r="K91" i="1" s="1"/>
  <c r="C92" i="1" s="1"/>
  <c r="M91" i="1"/>
  <c r="F218" i="1"/>
  <c r="L218" i="1" s="1"/>
  <c r="I218" i="1"/>
  <c r="K218" i="1" s="1"/>
  <c r="C219" i="1" s="1"/>
  <c r="H218" i="1" l="1"/>
  <c r="J218" i="1" s="1"/>
  <c r="B219" i="1" s="1"/>
  <c r="D219" i="1" s="1"/>
  <c r="E92" i="1"/>
  <c r="D92" i="1"/>
  <c r="E219" i="1" l="1"/>
  <c r="F92" i="1"/>
  <c r="G92" i="1"/>
  <c r="M92" i="1" s="1"/>
  <c r="I92" i="1" l="1"/>
  <c r="H92" i="1"/>
  <c r="L92" i="1"/>
  <c r="G219" i="1"/>
  <c r="M219" i="1" s="1"/>
  <c r="F219" i="1"/>
  <c r="L219" i="1" s="1"/>
  <c r="J92" i="1"/>
  <c r="B93" i="1" s="1"/>
  <c r="K92" i="1"/>
  <c r="C93" i="1" s="1"/>
  <c r="H219" i="1" l="1"/>
  <c r="J219" i="1" s="1"/>
  <c r="B220" i="1" s="1"/>
  <c r="I219" i="1"/>
  <c r="K219" i="1" s="1"/>
  <c r="C220" i="1" s="1"/>
  <c r="E220" i="1" s="1"/>
  <c r="E93" i="1"/>
  <c r="G93" i="1" s="1"/>
  <c r="M93" i="1" s="1"/>
  <c r="D93" i="1"/>
  <c r="F93" i="1" s="1"/>
  <c r="D220" i="1" l="1"/>
  <c r="H93" i="1"/>
  <c r="J93" i="1" s="1"/>
  <c r="B94" i="1" s="1"/>
  <c r="L93" i="1"/>
  <c r="G220" i="1"/>
  <c r="M220" i="1" s="1"/>
  <c r="I93" i="1"/>
  <c r="K93" i="1" s="1"/>
  <c r="C94" i="1" s="1"/>
  <c r="F220" i="1" l="1"/>
  <c r="L220" i="1" s="1"/>
  <c r="I220" i="1"/>
  <c r="K220" i="1" s="1"/>
  <c r="C221" i="1" s="1"/>
  <c r="E94" i="1"/>
  <c r="G94" i="1" s="1"/>
  <c r="D94" i="1"/>
  <c r="F94" i="1" s="1"/>
  <c r="I94" i="1" l="1"/>
  <c r="K94" i="1" s="1"/>
  <c r="C95" i="1" s="1"/>
  <c r="M94" i="1"/>
  <c r="H94" i="1"/>
  <c r="J94" i="1" s="1"/>
  <c r="B95" i="1" s="1"/>
  <c r="D95" i="1" s="1"/>
  <c r="F95" i="1" s="1"/>
  <c r="L95" i="1" s="1"/>
  <c r="L94" i="1"/>
  <c r="H220" i="1"/>
  <c r="J220" i="1" s="1"/>
  <c r="B221" i="1" s="1"/>
  <c r="D221" i="1" s="1"/>
  <c r="E95" i="1" l="1"/>
  <c r="G95" i="1" s="1"/>
  <c r="I95" i="1" s="1"/>
  <c r="K95" i="1" s="1"/>
  <c r="C96" i="1" s="1"/>
  <c r="E221" i="1"/>
  <c r="M95" i="1"/>
  <c r="H95" i="1"/>
  <c r="G221" i="1" l="1"/>
  <c r="M221" i="1" s="1"/>
  <c r="F221" i="1"/>
  <c r="L221" i="1" s="1"/>
  <c r="J95" i="1"/>
  <c r="B96" i="1" s="1"/>
  <c r="H221" i="1" l="1"/>
  <c r="J221" i="1" s="1"/>
  <c r="B222" i="1" s="1"/>
  <c r="D222" i="1" s="1"/>
  <c r="I221" i="1"/>
  <c r="K221" i="1" s="1"/>
  <c r="C222" i="1" s="1"/>
  <c r="E222" i="1" s="1"/>
  <c r="E96" i="1"/>
  <c r="G96" i="1" s="1"/>
  <c r="D96" i="1"/>
  <c r="F96" i="1" s="1"/>
  <c r="H96" i="1" l="1"/>
  <c r="J96" i="1" s="1"/>
  <c r="B97" i="1" s="1"/>
  <c r="L96" i="1"/>
  <c r="I96" i="1"/>
  <c r="K96" i="1" s="1"/>
  <c r="C97" i="1" s="1"/>
  <c r="M96" i="1"/>
  <c r="G222" i="1"/>
  <c r="M222" i="1" s="1"/>
  <c r="D97" i="1" l="1"/>
  <c r="E97" i="1"/>
  <c r="G97" i="1" s="1"/>
  <c r="F97" i="1"/>
  <c r="F222" i="1"/>
  <c r="L222" i="1" s="1"/>
  <c r="I222" i="1"/>
  <c r="K222" i="1" s="1"/>
  <c r="C223" i="1" s="1"/>
  <c r="I97" i="1" l="1"/>
  <c r="K97" i="1" s="1"/>
  <c r="C98" i="1" s="1"/>
  <c r="M97" i="1"/>
  <c r="H97" i="1"/>
  <c r="J97" i="1" s="1"/>
  <c r="B98" i="1" s="1"/>
  <c r="L97" i="1"/>
  <c r="H222" i="1"/>
  <c r="J222" i="1" s="1"/>
  <c r="B223" i="1" s="1"/>
  <c r="D223" i="1" s="1"/>
  <c r="E98" i="1" l="1"/>
  <c r="E223" i="1"/>
  <c r="G98" i="1"/>
  <c r="M98" i="1" s="1"/>
  <c r="I98" i="1"/>
  <c r="K98" i="1" s="1"/>
  <c r="D98" i="1"/>
  <c r="G223" i="1" l="1"/>
  <c r="M223" i="1" s="1"/>
  <c r="F223" i="1"/>
  <c r="L223" i="1" s="1"/>
  <c r="C99" i="1"/>
  <c r="F98" i="1"/>
  <c r="H98" i="1" l="1"/>
  <c r="J98" i="1" s="1"/>
  <c r="L98" i="1"/>
  <c r="H223" i="1"/>
  <c r="J223" i="1" s="1"/>
  <c r="B224" i="1" s="1"/>
  <c r="D224" i="1" s="1"/>
  <c r="I223" i="1"/>
  <c r="K223" i="1" s="1"/>
  <c r="C224" i="1" s="1"/>
  <c r="E224" i="1" s="1"/>
  <c r="B99" i="1"/>
  <c r="D99" i="1" s="1"/>
  <c r="E99" i="1"/>
  <c r="G99" i="1" l="1"/>
  <c r="M99" i="1" s="1"/>
  <c r="I99" i="1"/>
  <c r="K99" i="1" s="1"/>
  <c r="F99" i="1"/>
  <c r="H99" i="1" l="1"/>
  <c r="J99" i="1" s="1"/>
  <c r="L99" i="1"/>
  <c r="F224" i="1"/>
  <c r="L224" i="1" s="1"/>
  <c r="G224" i="1"/>
  <c r="M224" i="1" s="1"/>
  <c r="B100" i="1"/>
  <c r="C100" i="1"/>
  <c r="E100" i="1" l="1"/>
  <c r="G100" i="1" s="1"/>
  <c r="M100" i="1" s="1"/>
  <c r="I224" i="1"/>
  <c r="K224" i="1" s="1"/>
  <c r="C225" i="1" s="1"/>
  <c r="H224" i="1"/>
  <c r="J224" i="1" s="1"/>
  <c r="B225" i="1" s="1"/>
  <c r="D225" i="1" s="1"/>
  <c r="D100" i="1"/>
  <c r="E225" i="1" l="1"/>
  <c r="I100" i="1"/>
  <c r="K100" i="1" s="1"/>
  <c r="C101" i="1" s="1"/>
  <c r="F100" i="1"/>
  <c r="L100" i="1" s="1"/>
  <c r="H100" i="1"/>
  <c r="J100" i="1" s="1"/>
  <c r="G225" i="1" l="1"/>
  <c r="M225" i="1" s="1"/>
  <c r="F225" i="1"/>
  <c r="L225" i="1" s="1"/>
  <c r="B101" i="1"/>
  <c r="D101" i="1" s="1"/>
  <c r="H225" i="1" l="1"/>
  <c r="J225" i="1" s="1"/>
  <c r="B226" i="1" s="1"/>
  <c r="I225" i="1"/>
  <c r="K225" i="1" s="1"/>
  <c r="C226" i="1" s="1"/>
  <c r="E226" i="1" s="1"/>
  <c r="F101" i="1"/>
  <c r="L101" i="1" s="1"/>
  <c r="E101" i="1"/>
  <c r="H101" i="1" l="1"/>
  <c r="J101" i="1" s="1"/>
  <c r="B102" i="1" s="1"/>
  <c r="D226" i="1"/>
  <c r="G226" i="1"/>
  <c r="M226" i="1" s="1"/>
  <c r="G101" i="1"/>
  <c r="M101" i="1" s="1"/>
  <c r="I101" i="1"/>
  <c r="K101" i="1" s="1"/>
  <c r="F226" i="1" l="1"/>
  <c r="L226" i="1" s="1"/>
  <c r="I226" i="1"/>
  <c r="K226" i="1" s="1"/>
  <c r="C227" i="1" s="1"/>
  <c r="C102" i="1"/>
  <c r="E102" i="1" s="1"/>
  <c r="H226" i="1" l="1"/>
  <c r="J226" i="1" s="1"/>
  <c r="B227" i="1" s="1"/>
  <c r="D227" i="1" s="1"/>
  <c r="G102" i="1"/>
  <c r="M102" i="1" s="1"/>
  <c r="I102" i="1"/>
  <c r="K102" i="1" s="1"/>
  <c r="D102" i="1"/>
  <c r="E227" i="1" l="1"/>
  <c r="F102" i="1"/>
  <c r="L102" i="1" s="1"/>
  <c r="H102" i="1"/>
  <c r="J102" i="1" s="1"/>
  <c r="C103" i="1"/>
  <c r="G227" i="1" l="1"/>
  <c r="M227" i="1" s="1"/>
  <c r="F227" i="1"/>
  <c r="L227" i="1" s="1"/>
  <c r="B103" i="1"/>
  <c r="D103" i="1" s="1"/>
  <c r="H227" i="1" l="1"/>
  <c r="J227" i="1" s="1"/>
  <c r="B228" i="1" s="1"/>
  <c r="D228" i="1" s="1"/>
  <c r="I227" i="1"/>
  <c r="K227" i="1" s="1"/>
  <c r="C228" i="1" s="1"/>
  <c r="E228" i="1" s="1"/>
  <c r="F103" i="1"/>
  <c r="L103" i="1" s="1"/>
  <c r="E103" i="1"/>
  <c r="H103" i="1" l="1"/>
  <c r="J103" i="1" s="1"/>
  <c r="B104" i="1" s="1"/>
  <c r="G228" i="1"/>
  <c r="M228" i="1" s="1"/>
  <c r="G103" i="1"/>
  <c r="M103" i="1" s="1"/>
  <c r="I103" i="1"/>
  <c r="K103" i="1" s="1"/>
  <c r="F228" i="1" l="1"/>
  <c r="L228" i="1" s="1"/>
  <c r="I228" i="1"/>
  <c r="K228" i="1" s="1"/>
  <c r="C229" i="1" s="1"/>
  <c r="C104" i="1"/>
  <c r="E104" i="1" s="1"/>
  <c r="H228" i="1" l="1"/>
  <c r="J228" i="1" s="1"/>
  <c r="B229" i="1" s="1"/>
  <c r="D229" i="1" s="1"/>
  <c r="G104" i="1"/>
  <c r="M104" i="1" s="1"/>
  <c r="I104" i="1"/>
  <c r="K104" i="1" s="1"/>
  <c r="D104" i="1"/>
  <c r="E229" i="1" l="1"/>
  <c r="F104" i="1"/>
  <c r="L104" i="1" s="1"/>
  <c r="H104" i="1"/>
  <c r="J104" i="1" s="1"/>
  <c r="C105" i="1"/>
  <c r="G229" i="1" l="1"/>
  <c r="M229" i="1" s="1"/>
  <c r="F229" i="1"/>
  <c r="L229" i="1" s="1"/>
  <c r="B105" i="1"/>
  <c r="D105" i="1" s="1"/>
  <c r="H229" i="1" l="1"/>
  <c r="J229" i="1" s="1"/>
  <c r="B230" i="1" s="1"/>
  <c r="D230" i="1" s="1"/>
  <c r="I229" i="1"/>
  <c r="K229" i="1" s="1"/>
  <c r="C230" i="1" s="1"/>
  <c r="E230" i="1" s="1"/>
  <c r="F105" i="1"/>
  <c r="E105" i="1"/>
  <c r="H105" i="1" l="1"/>
  <c r="J105" i="1" s="1"/>
  <c r="L105" i="1"/>
  <c r="G230" i="1"/>
  <c r="M230" i="1" s="1"/>
  <c r="G105" i="1"/>
  <c r="M105" i="1" s="1"/>
  <c r="B106" i="1"/>
  <c r="I105" i="1" l="1"/>
  <c r="K105" i="1" s="1"/>
  <c r="F230" i="1"/>
  <c r="L230" i="1" s="1"/>
  <c r="I230" i="1"/>
  <c r="K230" i="1" s="1"/>
  <c r="C231" i="1" s="1"/>
  <c r="C106" i="1"/>
  <c r="E106" i="1" s="1"/>
  <c r="H230" i="1" l="1"/>
  <c r="J230" i="1" s="1"/>
  <c r="B231" i="1" s="1"/>
  <c r="D231" i="1" s="1"/>
  <c r="G106" i="1"/>
  <c r="M106" i="1" s="1"/>
  <c r="I106" i="1"/>
  <c r="K106" i="1" s="1"/>
  <c r="D106" i="1"/>
  <c r="E231" i="1" l="1"/>
  <c r="F106" i="1"/>
  <c r="L106" i="1" s="1"/>
  <c r="H106" i="1"/>
  <c r="J106" i="1" s="1"/>
  <c r="C107" i="1"/>
  <c r="G231" i="1" l="1"/>
  <c r="M231" i="1" s="1"/>
  <c r="F231" i="1"/>
  <c r="L231" i="1" s="1"/>
  <c r="B107" i="1"/>
  <c r="D107" i="1" s="1"/>
  <c r="H231" i="1" l="1"/>
  <c r="J231" i="1" s="1"/>
  <c r="B232" i="1" s="1"/>
  <c r="D232" i="1" s="1"/>
  <c r="I231" i="1"/>
  <c r="K231" i="1" s="1"/>
  <c r="C232" i="1" s="1"/>
  <c r="E232" i="1" s="1"/>
  <c r="F107" i="1"/>
  <c r="L107" i="1" s="1"/>
  <c r="H107" i="1"/>
  <c r="J107" i="1" s="1"/>
  <c r="E107" i="1"/>
  <c r="G107" i="1" l="1"/>
  <c r="M107" i="1" s="1"/>
  <c r="I107" i="1"/>
  <c r="K107" i="1" s="1"/>
  <c r="B108" i="1"/>
  <c r="F232" i="1" l="1"/>
  <c r="L232" i="1" s="1"/>
  <c r="G232" i="1"/>
  <c r="M232" i="1" s="1"/>
  <c r="C108" i="1"/>
  <c r="E108" i="1" s="1"/>
  <c r="I232" i="1" l="1"/>
  <c r="K232" i="1" s="1"/>
  <c r="C233" i="1" s="1"/>
  <c r="H232" i="1"/>
  <c r="J232" i="1" s="1"/>
  <c r="B233" i="1" s="1"/>
  <c r="D233" i="1" s="1"/>
  <c r="G108" i="1"/>
  <c r="M108" i="1" s="1"/>
  <c r="I108" i="1"/>
  <c r="K108" i="1" s="1"/>
  <c r="D108" i="1"/>
  <c r="E233" i="1" l="1"/>
  <c r="F108" i="1"/>
  <c r="L108" i="1" s="1"/>
  <c r="H108" i="1"/>
  <c r="J108" i="1" s="1"/>
  <c r="C109" i="1"/>
  <c r="G233" i="1" l="1"/>
  <c r="M233" i="1" s="1"/>
  <c r="F233" i="1"/>
  <c r="L233" i="1" s="1"/>
  <c r="B109" i="1"/>
  <c r="D109" i="1" s="1"/>
  <c r="H233" i="1" l="1"/>
  <c r="J233" i="1" s="1"/>
  <c r="B234" i="1" s="1"/>
  <c r="I233" i="1"/>
  <c r="K233" i="1" s="1"/>
  <c r="C234" i="1" s="1"/>
  <c r="E234" i="1" s="1"/>
  <c r="F109" i="1"/>
  <c r="L109" i="1" s="1"/>
  <c r="H109" i="1"/>
  <c r="J109" i="1" s="1"/>
  <c r="E109" i="1"/>
  <c r="D234" i="1" l="1"/>
  <c r="G234" i="1"/>
  <c r="M234" i="1" s="1"/>
  <c r="G109" i="1"/>
  <c r="M109" i="1" s="1"/>
  <c r="I109" i="1"/>
  <c r="K109" i="1" s="1"/>
  <c r="B110" i="1"/>
  <c r="F234" i="1" l="1"/>
  <c r="L234" i="1" s="1"/>
  <c r="I234" i="1"/>
  <c r="K234" i="1" s="1"/>
  <c r="C235" i="1" s="1"/>
  <c r="C110" i="1"/>
  <c r="E110" i="1" s="1"/>
  <c r="H234" i="1" l="1"/>
  <c r="J234" i="1" s="1"/>
  <c r="B235" i="1" s="1"/>
  <c r="D235" i="1" s="1"/>
  <c r="G110" i="1"/>
  <c r="M110" i="1" s="1"/>
  <c r="I110" i="1"/>
  <c r="K110" i="1" s="1"/>
  <c r="D110" i="1"/>
  <c r="E235" i="1" l="1"/>
  <c r="F110" i="1"/>
  <c r="L110" i="1" s="1"/>
  <c r="H110" i="1"/>
  <c r="J110" i="1" s="1"/>
  <c r="C111" i="1"/>
  <c r="G235" i="1" l="1"/>
  <c r="M235" i="1" s="1"/>
  <c r="F235" i="1"/>
  <c r="L235" i="1" s="1"/>
  <c r="B111" i="1"/>
  <c r="D111" i="1" s="1"/>
  <c r="H235" i="1" l="1"/>
  <c r="J235" i="1" s="1"/>
  <c r="B236" i="1" s="1"/>
  <c r="D236" i="1" s="1"/>
  <c r="I235" i="1"/>
  <c r="K235" i="1" s="1"/>
  <c r="C236" i="1" s="1"/>
  <c r="E236" i="1" s="1"/>
  <c r="F111" i="1"/>
  <c r="L111" i="1" s="1"/>
  <c r="E111" i="1"/>
  <c r="H111" i="1" l="1"/>
  <c r="J111" i="1" s="1"/>
  <c r="G111" i="1"/>
  <c r="M111" i="1" s="1"/>
  <c r="I111" i="1"/>
  <c r="K111" i="1" s="1"/>
  <c r="B112" i="1"/>
  <c r="F236" i="1" l="1"/>
  <c r="L236" i="1" s="1"/>
  <c r="G236" i="1"/>
  <c r="M236" i="1" s="1"/>
  <c r="C112" i="1"/>
  <c r="E112" i="1" s="1"/>
  <c r="I236" i="1" l="1"/>
  <c r="K236" i="1" s="1"/>
  <c r="C237" i="1" s="1"/>
  <c r="H236" i="1"/>
  <c r="J236" i="1" s="1"/>
  <c r="B237" i="1" s="1"/>
  <c r="D237" i="1" s="1"/>
  <c r="D112" i="1"/>
  <c r="G112" i="1"/>
  <c r="E237" i="1" l="1"/>
  <c r="I112" i="1"/>
  <c r="K112" i="1" s="1"/>
  <c r="M112" i="1"/>
  <c r="C113" i="1"/>
  <c r="F112" i="1"/>
  <c r="L112" i="1" s="1"/>
  <c r="G237" i="1" l="1"/>
  <c r="M237" i="1" s="1"/>
  <c r="F237" i="1"/>
  <c r="L237" i="1" s="1"/>
  <c r="H112" i="1"/>
  <c r="H237" i="1" l="1"/>
  <c r="J237" i="1" s="1"/>
  <c r="B238" i="1" s="1"/>
  <c r="I237" i="1"/>
  <c r="K237" i="1" s="1"/>
  <c r="C238" i="1" s="1"/>
  <c r="E238" i="1" s="1"/>
  <c r="J112" i="1"/>
  <c r="B113" i="1" s="1"/>
  <c r="D238" i="1" l="1"/>
  <c r="E113" i="1"/>
  <c r="D113" i="1"/>
  <c r="F113" i="1" s="1"/>
  <c r="G113" i="1"/>
  <c r="M113" i="1" s="1"/>
  <c r="I113" i="1" l="1"/>
  <c r="K113" i="1" s="1"/>
  <c r="C114" i="1" s="1"/>
  <c r="E114" i="1" s="1"/>
  <c r="H113" i="1"/>
  <c r="J113" i="1" s="1"/>
  <c r="L113" i="1"/>
  <c r="F238" i="1"/>
  <c r="L238" i="1" s="1"/>
  <c r="G238" i="1"/>
  <c r="M238" i="1" s="1"/>
  <c r="B114" i="1"/>
  <c r="I238" i="1" l="1"/>
  <c r="K238" i="1" s="1"/>
  <c r="C239" i="1" s="1"/>
  <c r="E239" i="1" s="1"/>
  <c r="H238" i="1"/>
  <c r="J238" i="1" s="1"/>
  <c r="B239" i="1" s="1"/>
  <c r="D239" i="1" s="1"/>
  <c r="G114" i="1"/>
  <c r="M114" i="1" s="1"/>
  <c r="I114" i="1"/>
  <c r="K114" i="1" s="1"/>
  <c r="D114" i="1"/>
  <c r="F114" i="1" l="1"/>
  <c r="L114" i="1" s="1"/>
  <c r="H114" i="1"/>
  <c r="J114" i="1" s="1"/>
  <c r="C115" i="1"/>
  <c r="G239" i="1" l="1"/>
  <c r="M239" i="1" s="1"/>
  <c r="F239" i="1"/>
  <c r="L239" i="1" s="1"/>
  <c r="B115" i="1"/>
  <c r="D115" i="1" s="1"/>
  <c r="H239" i="1" l="1"/>
  <c r="J239" i="1" s="1"/>
  <c r="B240" i="1" s="1"/>
  <c r="I239" i="1"/>
  <c r="K239" i="1" s="1"/>
  <c r="C240" i="1" s="1"/>
  <c r="E240" i="1" s="1"/>
  <c r="F115" i="1"/>
  <c r="L115" i="1" s="1"/>
  <c r="E115" i="1"/>
  <c r="D240" i="1" l="1"/>
  <c r="H115" i="1"/>
  <c r="J115" i="1" s="1"/>
  <c r="G115" i="1"/>
  <c r="M115" i="1" s="1"/>
  <c r="I115" i="1"/>
  <c r="K115" i="1" s="1"/>
  <c r="B116" i="1"/>
  <c r="F240" i="1" l="1"/>
  <c r="L240" i="1" s="1"/>
  <c r="G240" i="1"/>
  <c r="M240" i="1" s="1"/>
  <c r="C116" i="1"/>
  <c r="E116" i="1" s="1"/>
  <c r="I240" i="1" l="1"/>
  <c r="K240" i="1" s="1"/>
  <c r="C241" i="1" s="1"/>
  <c r="H240" i="1"/>
  <c r="J240" i="1" s="1"/>
  <c r="B241" i="1" s="1"/>
  <c r="D241" i="1" s="1"/>
  <c r="G116" i="1"/>
  <c r="M116" i="1" s="1"/>
  <c r="I116" i="1"/>
  <c r="K116" i="1" s="1"/>
  <c r="D116" i="1"/>
  <c r="E241" i="1" l="1"/>
  <c r="F116" i="1"/>
  <c r="L116" i="1" s="1"/>
  <c r="H116" i="1"/>
  <c r="J116" i="1" s="1"/>
  <c r="C117" i="1"/>
  <c r="G241" i="1" l="1"/>
  <c r="M241" i="1" s="1"/>
  <c r="F241" i="1"/>
  <c r="L241" i="1" s="1"/>
  <c r="B117" i="1"/>
  <c r="D117" i="1" s="1"/>
  <c r="H241" i="1" l="1"/>
  <c r="J241" i="1" s="1"/>
  <c r="B242" i="1" s="1"/>
  <c r="I241" i="1"/>
  <c r="K241" i="1" s="1"/>
  <c r="C242" i="1" s="1"/>
  <c r="E242" i="1" s="1"/>
  <c r="F117" i="1"/>
  <c r="L117" i="1" s="1"/>
  <c r="H117" i="1"/>
  <c r="J117" i="1" s="1"/>
  <c r="E117" i="1"/>
  <c r="D242" i="1" l="1"/>
  <c r="G117" i="1"/>
  <c r="M117" i="1" s="1"/>
  <c r="I117" i="1"/>
  <c r="K117" i="1" s="1"/>
  <c r="B118" i="1"/>
  <c r="G242" i="1" l="1"/>
  <c r="M242" i="1" s="1"/>
  <c r="F242" i="1"/>
  <c r="L242" i="1" s="1"/>
  <c r="C118" i="1"/>
  <c r="E118" i="1" s="1"/>
  <c r="H242" i="1" l="1"/>
  <c r="J242" i="1" s="1"/>
  <c r="B243" i="1" s="1"/>
  <c r="I242" i="1"/>
  <c r="K242" i="1" s="1"/>
  <c r="C243" i="1" s="1"/>
  <c r="E243" i="1" s="1"/>
  <c r="G118" i="1"/>
  <c r="M118" i="1" s="1"/>
  <c r="I118" i="1"/>
  <c r="K118" i="1" s="1"/>
  <c r="D118" i="1"/>
  <c r="D243" i="1" l="1"/>
  <c r="G243" i="1"/>
  <c r="M243" i="1" s="1"/>
  <c r="C119" i="1"/>
  <c r="F118" i="1"/>
  <c r="L118" i="1" s="1"/>
  <c r="F243" i="1" l="1"/>
  <c r="L243" i="1" s="1"/>
  <c r="I243" i="1"/>
  <c r="K243" i="1" s="1"/>
  <c r="C244" i="1" s="1"/>
  <c r="H118" i="1"/>
  <c r="H243" i="1" l="1"/>
  <c r="J243" i="1" s="1"/>
  <c r="B244" i="1" s="1"/>
  <c r="D244" i="1" s="1"/>
  <c r="J118" i="1"/>
  <c r="B119" i="1" s="1"/>
  <c r="E244" i="1" l="1"/>
  <c r="G244" i="1"/>
  <c r="M244" i="1" s="1"/>
  <c r="E119" i="1"/>
  <c r="I119" i="1" s="1"/>
  <c r="K119" i="1" s="1"/>
  <c r="D119" i="1"/>
  <c r="F119" i="1" s="1"/>
  <c r="G119" i="1"/>
  <c r="M119" i="1" s="1"/>
  <c r="H119" i="1" l="1"/>
  <c r="J119" i="1" s="1"/>
  <c r="B120" i="1" s="1"/>
  <c r="D120" i="1" s="1"/>
  <c r="L119" i="1"/>
  <c r="I244" i="1"/>
  <c r="K244" i="1" s="1"/>
  <c r="C245" i="1" s="1"/>
  <c r="F244" i="1"/>
  <c r="L244" i="1" s="1"/>
  <c r="C120" i="1"/>
  <c r="H244" i="1" l="1"/>
  <c r="J244" i="1" s="1"/>
  <c r="B245" i="1" s="1"/>
  <c r="D245" i="1" s="1"/>
  <c r="F120" i="1"/>
  <c r="L120" i="1" s="1"/>
  <c r="H120" i="1"/>
  <c r="J120" i="1" s="1"/>
  <c r="E120" i="1"/>
  <c r="E245" i="1" l="1"/>
  <c r="G245" i="1" s="1"/>
  <c r="M245" i="1" s="1"/>
  <c r="F245" i="1"/>
  <c r="L245" i="1" s="1"/>
  <c r="B121" i="1"/>
  <c r="G120" i="1"/>
  <c r="M120" i="1" s="1"/>
  <c r="H245" i="1" l="1"/>
  <c r="J245" i="1" s="1"/>
  <c r="B246" i="1" s="1"/>
  <c r="I245" i="1"/>
  <c r="K245" i="1" s="1"/>
  <c r="C246" i="1" s="1"/>
  <c r="E246" i="1" s="1"/>
  <c r="I120" i="1"/>
  <c r="D246" i="1" l="1"/>
  <c r="K120" i="1"/>
  <c r="C121" i="1" s="1"/>
  <c r="G246" i="1" l="1"/>
  <c r="M246" i="1" s="1"/>
  <c r="F246" i="1"/>
  <c r="L246" i="1" s="1"/>
  <c r="E121" i="1"/>
  <c r="D121" i="1"/>
  <c r="F121" i="1" s="1"/>
  <c r="H121" i="1" l="1"/>
  <c r="J121" i="1" s="1"/>
  <c r="B122" i="1" s="1"/>
  <c r="L121" i="1"/>
  <c r="I246" i="1"/>
  <c r="K246" i="1" s="1"/>
  <c r="C247" i="1" s="1"/>
  <c r="H246" i="1"/>
  <c r="J246" i="1" s="1"/>
  <c r="B247" i="1" s="1"/>
  <c r="D247" i="1" s="1"/>
  <c r="G121" i="1"/>
  <c r="E247" i="1" l="1"/>
  <c r="G247" i="1" s="1"/>
  <c r="M247" i="1" s="1"/>
  <c r="I121" i="1"/>
  <c r="K121" i="1" s="1"/>
  <c r="C122" i="1" s="1"/>
  <c r="D122" i="1" s="1"/>
  <c r="F122" i="1" s="1"/>
  <c r="L122" i="1" s="1"/>
  <c r="M121" i="1"/>
  <c r="E122" i="1" l="1"/>
  <c r="G122" i="1" s="1"/>
  <c r="M122" i="1" s="1"/>
  <c r="F247" i="1"/>
  <c r="L247" i="1" s="1"/>
  <c r="I247" i="1"/>
  <c r="K247" i="1" s="1"/>
  <c r="C248" i="1" s="1"/>
  <c r="H122" i="1"/>
  <c r="E248" i="1" l="1"/>
  <c r="I122" i="1"/>
  <c r="K122" i="1" s="1"/>
  <c r="C123" i="1" s="1"/>
  <c r="H247" i="1"/>
  <c r="J247" i="1" s="1"/>
  <c r="B248" i="1" s="1"/>
  <c r="D248" i="1" s="1"/>
  <c r="J122" i="1"/>
  <c r="B123" i="1" s="1"/>
  <c r="D123" i="1" l="1"/>
  <c r="F123" i="1" s="1"/>
  <c r="L123" i="1" s="1"/>
  <c r="E123" i="1"/>
  <c r="G123" i="1" s="1"/>
  <c r="M123" i="1" s="1"/>
  <c r="H123" i="1" l="1"/>
  <c r="F248" i="1"/>
  <c r="L248" i="1" s="1"/>
  <c r="G248" i="1"/>
  <c r="M248" i="1" s="1"/>
  <c r="I123" i="1"/>
  <c r="J123" i="1"/>
  <c r="B124" i="1" s="1"/>
  <c r="H248" i="1" l="1"/>
  <c r="J248" i="1" s="1"/>
  <c r="B249" i="1" s="1"/>
  <c r="I248" i="1"/>
  <c r="K248" i="1" s="1"/>
  <c r="C249" i="1" s="1"/>
  <c r="E249" i="1" s="1"/>
  <c r="K123" i="1"/>
  <c r="C124" i="1" s="1"/>
  <c r="D249" i="1" l="1"/>
  <c r="F249" i="1"/>
  <c r="L249" i="1" s="1"/>
  <c r="E124" i="1"/>
  <c r="G124" i="1" s="1"/>
  <c r="M124" i="1" s="1"/>
  <c r="D124" i="1"/>
  <c r="F124" i="1" s="1"/>
  <c r="H124" i="1" l="1"/>
  <c r="J124" i="1" s="1"/>
  <c r="B125" i="1" s="1"/>
  <c r="L124" i="1"/>
  <c r="I124" i="1"/>
  <c r="K124" i="1" s="1"/>
  <c r="C125" i="1" s="1"/>
  <c r="G249" i="1"/>
  <c r="M249" i="1" s="1"/>
  <c r="H249" i="1"/>
  <c r="J249" i="1" s="1"/>
  <c r="B250" i="1" s="1"/>
  <c r="I249" i="1" l="1"/>
  <c r="K249" i="1" s="1"/>
  <c r="C250" i="1" s="1"/>
  <c r="E250" i="1" s="1"/>
  <c r="E125" i="1"/>
  <c r="G125" i="1" s="1"/>
  <c r="M125" i="1" s="1"/>
  <c r="D125" i="1"/>
  <c r="F125" i="1" s="1"/>
  <c r="L125" i="1" s="1"/>
  <c r="D250" i="1" l="1"/>
  <c r="F250" i="1"/>
  <c r="L250" i="1" s="1"/>
  <c r="H125" i="1"/>
  <c r="J125" i="1" s="1"/>
  <c r="B126" i="1" s="1"/>
  <c r="I125" i="1"/>
  <c r="K125" i="1" s="1"/>
  <c r="C126" i="1" s="1"/>
  <c r="E126" i="1" s="1"/>
  <c r="G250" i="1" l="1"/>
  <c r="M250" i="1" s="1"/>
  <c r="H250" i="1"/>
  <c r="J250" i="1" s="1"/>
  <c r="B251" i="1" s="1"/>
  <c r="G126" i="1"/>
  <c r="D126" i="1"/>
  <c r="F126" i="1" s="1"/>
  <c r="L126" i="1" s="1"/>
  <c r="D251" i="1" l="1"/>
  <c r="I126" i="1"/>
  <c r="K126" i="1" s="1"/>
  <c r="C127" i="1" s="1"/>
  <c r="M126" i="1"/>
  <c r="I250" i="1"/>
  <c r="K250" i="1" s="1"/>
  <c r="C251" i="1" s="1"/>
  <c r="H126" i="1"/>
  <c r="F251" i="1" l="1"/>
  <c r="L251" i="1" s="1"/>
  <c r="E251" i="1"/>
  <c r="G251" i="1"/>
  <c r="M251" i="1" s="1"/>
  <c r="J126" i="1"/>
  <c r="B127" i="1" s="1"/>
  <c r="H251" i="1" l="1"/>
  <c r="J251" i="1" s="1"/>
  <c r="B252" i="1" s="1"/>
  <c r="D252" i="1" s="1"/>
  <c r="I251" i="1"/>
  <c r="K251" i="1" s="1"/>
  <c r="C252" i="1" s="1"/>
  <c r="D127" i="1"/>
  <c r="F127" i="1" s="1"/>
  <c r="L127" i="1" s="1"/>
  <c r="E127" i="1"/>
  <c r="G127" i="1" s="1"/>
  <c r="M127" i="1" s="1"/>
  <c r="H127" i="1" l="1"/>
  <c r="J127" i="1" s="1"/>
  <c r="B128" i="1" s="1"/>
  <c r="E252" i="1"/>
  <c r="I127" i="1"/>
  <c r="K127" i="1" s="1"/>
  <c r="C128" i="1" s="1"/>
  <c r="F252" i="1"/>
  <c r="L252" i="1" s="1"/>
  <c r="D128" i="1"/>
  <c r="E128" i="1" l="1"/>
  <c r="H252" i="1"/>
  <c r="J252" i="1" s="1"/>
  <c r="B253" i="1" s="1"/>
  <c r="G252" i="1"/>
  <c r="M252" i="1" s="1"/>
  <c r="G128" i="1"/>
  <c r="M128" i="1" s="1"/>
  <c r="F128" i="1"/>
  <c r="L128" i="1" s="1"/>
  <c r="D253" i="1" l="1"/>
  <c r="F253" i="1" s="1"/>
  <c r="L253" i="1" s="1"/>
  <c r="I252" i="1"/>
  <c r="K252" i="1" s="1"/>
  <c r="C253" i="1" s="1"/>
  <c r="E253" i="1" s="1"/>
  <c r="H128" i="1"/>
  <c r="J128" i="1" s="1"/>
  <c r="B129" i="1" s="1"/>
  <c r="D129" i="1" s="1"/>
  <c r="I128" i="1"/>
  <c r="K128" i="1" s="1"/>
  <c r="C129" i="1" s="1"/>
  <c r="G253" i="1"/>
  <c r="M253" i="1" s="1"/>
  <c r="I253" i="1" l="1"/>
  <c r="K253" i="1" s="1"/>
  <c r="C254" i="1" s="1"/>
  <c r="E254" i="1" s="1"/>
  <c r="H253" i="1"/>
  <c r="J253" i="1" s="1"/>
  <c r="B254" i="1" s="1"/>
  <c r="F129" i="1"/>
  <c r="L129" i="1" s="1"/>
  <c r="E129" i="1"/>
  <c r="D254" i="1" l="1"/>
  <c r="H129" i="1"/>
  <c r="J129" i="1" s="1"/>
  <c r="B130" i="1" s="1"/>
  <c r="G254" i="1"/>
  <c r="M254" i="1" s="1"/>
  <c r="G129" i="1"/>
  <c r="M129" i="1" s="1"/>
  <c r="I129" i="1" l="1"/>
  <c r="K129" i="1" s="1"/>
  <c r="C130" i="1" s="1"/>
  <c r="E130" i="1" s="1"/>
  <c r="I254" i="1"/>
  <c r="K254" i="1" s="1"/>
  <c r="C255" i="1" s="1"/>
  <c r="F254" i="1"/>
  <c r="L254" i="1" s="1"/>
  <c r="E255" i="1" l="1"/>
  <c r="H254" i="1"/>
  <c r="J254" i="1" s="1"/>
  <c r="B255" i="1" s="1"/>
  <c r="D255" i="1" s="1"/>
  <c r="G130" i="1"/>
  <c r="M130" i="1" s="1"/>
  <c r="I130" i="1"/>
  <c r="K130" i="1" s="1"/>
  <c r="D130" i="1"/>
  <c r="F130" i="1" l="1"/>
  <c r="L130" i="1" s="1"/>
  <c r="H130" i="1"/>
  <c r="J130" i="1" s="1"/>
  <c r="C131" i="1"/>
  <c r="F255" i="1" l="1"/>
  <c r="L255" i="1" s="1"/>
  <c r="B131" i="1"/>
  <c r="D131" i="1" s="1"/>
  <c r="H255" i="1" l="1"/>
  <c r="J255" i="1" s="1"/>
  <c r="B256" i="1" s="1"/>
  <c r="G255" i="1"/>
  <c r="M255" i="1" s="1"/>
  <c r="F131" i="1"/>
  <c r="L131" i="1" s="1"/>
  <c r="H131" i="1"/>
  <c r="J131" i="1" s="1"/>
  <c r="E131" i="1"/>
  <c r="I255" i="1" l="1"/>
  <c r="K255" i="1" s="1"/>
  <c r="C256" i="1" s="1"/>
  <c r="E256" i="1" s="1"/>
  <c r="G131" i="1"/>
  <c r="M131" i="1" s="1"/>
  <c r="I131" i="1"/>
  <c r="K131" i="1" s="1"/>
  <c r="B132" i="1"/>
  <c r="D256" i="1" l="1"/>
  <c r="C132" i="1"/>
  <c r="E132" i="1" s="1"/>
  <c r="F256" i="1" l="1"/>
  <c r="L256" i="1" s="1"/>
  <c r="H256" i="1"/>
  <c r="J256" i="1" s="1"/>
  <c r="B257" i="1" s="1"/>
  <c r="G132" i="1"/>
  <c r="M132" i="1" s="1"/>
  <c r="D132" i="1"/>
  <c r="I132" i="1" l="1"/>
  <c r="K132" i="1" s="1"/>
  <c r="G256" i="1"/>
  <c r="M256" i="1" s="1"/>
  <c r="F132" i="1"/>
  <c r="L132" i="1" s="1"/>
  <c r="H132" i="1"/>
  <c r="J132" i="1" s="1"/>
  <c r="C133" i="1"/>
  <c r="I256" i="1" l="1"/>
  <c r="K256" i="1" s="1"/>
  <c r="C257" i="1" s="1"/>
  <c r="B133" i="1"/>
  <c r="D133" i="1" s="1"/>
  <c r="E257" i="1" l="1"/>
  <c r="D257" i="1"/>
  <c r="F133" i="1"/>
  <c r="L133" i="1" s="1"/>
  <c r="H133" i="1"/>
  <c r="J133" i="1" s="1"/>
  <c r="E133" i="1"/>
  <c r="F257" i="1" l="1"/>
  <c r="L257" i="1" s="1"/>
  <c r="G133" i="1"/>
  <c r="M133" i="1" s="1"/>
  <c r="I133" i="1"/>
  <c r="K133" i="1" s="1"/>
  <c r="B134" i="1"/>
  <c r="G257" i="1" l="1"/>
  <c r="M257" i="1" s="1"/>
  <c r="H257" i="1"/>
  <c r="J257" i="1" s="1"/>
  <c r="B258" i="1" s="1"/>
  <c r="C134" i="1"/>
  <c r="E134" i="1" s="1"/>
  <c r="I257" i="1" l="1"/>
  <c r="K257" i="1" s="1"/>
  <c r="C258" i="1" s="1"/>
  <c r="E258" i="1" s="1"/>
  <c r="G134" i="1"/>
  <c r="M134" i="1" s="1"/>
  <c r="I134" i="1"/>
  <c r="K134" i="1" s="1"/>
  <c r="D134" i="1"/>
  <c r="D258" i="1" l="1"/>
  <c r="F134" i="1"/>
  <c r="C135" i="1"/>
  <c r="H134" i="1" l="1"/>
  <c r="J134" i="1" s="1"/>
  <c r="B135" i="1" s="1"/>
  <c r="D135" i="1" s="1"/>
  <c r="L134" i="1"/>
  <c r="F258" i="1"/>
  <c r="L258" i="1" s="1"/>
  <c r="G258" i="1" l="1"/>
  <c r="M258" i="1" s="1"/>
  <c r="H258" i="1"/>
  <c r="J258" i="1" s="1"/>
  <c r="B259" i="1" s="1"/>
  <c r="F135" i="1"/>
  <c r="L135" i="1" s="1"/>
  <c r="E135" i="1"/>
  <c r="D259" i="1" l="1"/>
  <c r="H135" i="1"/>
  <c r="J135" i="1" s="1"/>
  <c r="I258" i="1"/>
  <c r="K258" i="1" s="1"/>
  <c r="C259" i="1" s="1"/>
  <c r="E259" i="1" s="1"/>
  <c r="G135" i="1"/>
  <c r="M135" i="1" s="1"/>
  <c r="I135" i="1"/>
  <c r="K135" i="1" s="1"/>
  <c r="B136" i="1"/>
  <c r="C136" i="1" l="1"/>
  <c r="E136" i="1" s="1"/>
  <c r="F259" i="1" l="1"/>
  <c r="L259" i="1" s="1"/>
  <c r="G136" i="1"/>
  <c r="D136" i="1"/>
  <c r="I136" i="1" l="1"/>
  <c r="K136" i="1" s="1"/>
  <c r="C137" i="1" s="1"/>
  <c r="M136" i="1"/>
  <c r="G259" i="1"/>
  <c r="M259" i="1" s="1"/>
  <c r="H259" i="1"/>
  <c r="J259" i="1" s="1"/>
  <c r="B260" i="1" s="1"/>
  <c r="F136" i="1"/>
  <c r="D260" i="1" l="1"/>
  <c r="H136" i="1"/>
  <c r="J136" i="1" s="1"/>
  <c r="L136" i="1"/>
  <c r="I259" i="1"/>
  <c r="K259" i="1" s="1"/>
  <c r="C260" i="1" s="1"/>
  <c r="E260" i="1" s="1"/>
  <c r="B137" i="1"/>
  <c r="D137" i="1" s="1"/>
  <c r="F260" i="1" l="1"/>
  <c r="L260" i="1" s="1"/>
  <c r="G260" i="1"/>
  <c r="M260" i="1" s="1"/>
  <c r="F137" i="1"/>
  <c r="E137" i="1"/>
  <c r="H137" i="1" l="1"/>
  <c r="J137" i="1" s="1"/>
  <c r="B138" i="1" s="1"/>
  <c r="L137" i="1"/>
  <c r="I260" i="1"/>
  <c r="K260" i="1" s="1"/>
  <c r="C261" i="1" s="1"/>
  <c r="H260" i="1"/>
  <c r="J260" i="1" s="1"/>
  <c r="B261" i="1" s="1"/>
  <c r="D261" i="1" s="1"/>
  <c r="G137" i="1"/>
  <c r="E261" i="1" l="1"/>
  <c r="I137" i="1"/>
  <c r="K137" i="1" s="1"/>
  <c r="M137" i="1"/>
  <c r="C138" i="1"/>
  <c r="E138" i="1" s="1"/>
  <c r="F261" i="1" l="1"/>
  <c r="L261" i="1" s="1"/>
  <c r="G138" i="1"/>
  <c r="D138" i="1"/>
  <c r="I138" i="1" l="1"/>
  <c r="K138" i="1" s="1"/>
  <c r="C139" i="1" s="1"/>
  <c r="M138" i="1"/>
  <c r="G261" i="1"/>
  <c r="M261" i="1" s="1"/>
  <c r="H261" i="1"/>
  <c r="J261" i="1" s="1"/>
  <c r="B262" i="1" s="1"/>
  <c r="F138" i="1"/>
  <c r="D262" i="1" l="1"/>
  <c r="H138" i="1"/>
  <c r="J138" i="1" s="1"/>
  <c r="B139" i="1" s="1"/>
  <c r="D139" i="1" s="1"/>
  <c r="L138" i="1"/>
  <c r="I261" i="1"/>
  <c r="K261" i="1" s="1"/>
  <c r="C262" i="1" s="1"/>
  <c r="E262" i="1" s="1"/>
  <c r="F139" i="1" l="1"/>
  <c r="E139" i="1"/>
  <c r="H139" i="1" l="1"/>
  <c r="J139" i="1" s="1"/>
  <c r="L139" i="1"/>
  <c r="F262" i="1"/>
  <c r="L262" i="1" s="1"/>
  <c r="G139" i="1"/>
  <c r="B140" i="1"/>
  <c r="I139" i="1" l="1"/>
  <c r="K139" i="1" s="1"/>
  <c r="C140" i="1" s="1"/>
  <c r="E140" i="1" s="1"/>
  <c r="M139" i="1"/>
  <c r="G262" i="1"/>
  <c r="M262" i="1" s="1"/>
  <c r="H262" i="1"/>
  <c r="J262" i="1" s="1"/>
  <c r="B263" i="1" s="1"/>
  <c r="D263" i="1" l="1"/>
  <c r="I262" i="1"/>
  <c r="K262" i="1" s="1"/>
  <c r="C263" i="1" s="1"/>
  <c r="E263" i="1" s="1"/>
  <c r="G140" i="1"/>
  <c r="D140" i="1"/>
  <c r="I140" i="1" l="1"/>
  <c r="K140" i="1" s="1"/>
  <c r="M140" i="1"/>
  <c r="F140" i="1"/>
  <c r="C141" i="1"/>
  <c r="H140" i="1" l="1"/>
  <c r="J140" i="1" s="1"/>
  <c r="L140" i="1"/>
  <c r="F263" i="1"/>
  <c r="L263" i="1" s="1"/>
  <c r="B141" i="1"/>
  <c r="D141" i="1" s="1"/>
  <c r="G263" i="1" l="1"/>
  <c r="M263" i="1" s="1"/>
  <c r="H263" i="1"/>
  <c r="J263" i="1" s="1"/>
  <c r="B264" i="1" s="1"/>
  <c r="F141" i="1"/>
  <c r="E141" i="1"/>
  <c r="D264" i="1" l="1"/>
  <c r="H141" i="1"/>
  <c r="J141" i="1" s="1"/>
  <c r="L141" i="1"/>
  <c r="I263" i="1"/>
  <c r="K263" i="1" s="1"/>
  <c r="C264" i="1" s="1"/>
  <c r="E264" i="1" s="1"/>
  <c r="G141" i="1"/>
  <c r="M141" i="1" s="1"/>
  <c r="B142" i="1"/>
  <c r="I141" i="1" l="1"/>
  <c r="K141" i="1" s="1"/>
  <c r="C142" i="1"/>
  <c r="E142" i="1" s="1"/>
  <c r="F264" i="1" l="1"/>
  <c r="L264" i="1" s="1"/>
  <c r="G142" i="1"/>
  <c r="M142" i="1" s="1"/>
  <c r="I142" i="1"/>
  <c r="K142" i="1" s="1"/>
  <c r="D142" i="1"/>
  <c r="G264" i="1" l="1"/>
  <c r="M264" i="1" s="1"/>
  <c r="H264" i="1"/>
  <c r="J264" i="1" s="1"/>
  <c r="B265" i="1" s="1"/>
  <c r="F142" i="1"/>
  <c r="L142" i="1" s="1"/>
  <c r="H142" i="1"/>
  <c r="J142" i="1" s="1"/>
  <c r="C143" i="1"/>
  <c r="D265" i="1" l="1"/>
  <c r="I264" i="1"/>
  <c r="K264" i="1" s="1"/>
  <c r="C265" i="1" s="1"/>
  <c r="E265" i="1" s="1"/>
  <c r="B143" i="1"/>
  <c r="D143" i="1" s="1"/>
  <c r="F143" i="1" l="1"/>
  <c r="L143" i="1" s="1"/>
  <c r="H143" i="1"/>
  <c r="J143" i="1" s="1"/>
  <c r="E143" i="1"/>
  <c r="F265" i="1" l="1"/>
  <c r="L265" i="1" s="1"/>
  <c r="G143" i="1"/>
  <c r="M143" i="1" s="1"/>
  <c r="B144" i="1"/>
  <c r="I143" i="1" l="1"/>
  <c r="K143" i="1" s="1"/>
  <c r="G265" i="1"/>
  <c r="M265" i="1" s="1"/>
  <c r="H265" i="1"/>
  <c r="J265" i="1" s="1"/>
  <c r="B266" i="1" s="1"/>
  <c r="C144" i="1"/>
  <c r="E144" i="1" s="1"/>
  <c r="I265" i="1" l="1"/>
  <c r="K265" i="1" s="1"/>
  <c r="C266" i="1" s="1"/>
  <c r="E266" i="1" s="1"/>
  <c r="G144" i="1"/>
  <c r="M144" i="1" s="1"/>
  <c r="I144" i="1"/>
  <c r="K144" i="1" s="1"/>
  <c r="D144" i="1"/>
  <c r="D266" i="1" l="1"/>
  <c r="F144" i="1"/>
  <c r="L144" i="1" s="1"/>
  <c r="H144" i="1"/>
  <c r="J144" i="1" s="1"/>
  <c r="C145" i="1"/>
  <c r="F266" i="1" l="1"/>
  <c r="L266" i="1" s="1"/>
  <c r="B145" i="1"/>
  <c r="D145" i="1" s="1"/>
  <c r="E145" i="1" l="1"/>
  <c r="G145" i="1" s="1"/>
  <c r="G266" i="1"/>
  <c r="M266" i="1" s="1"/>
  <c r="H266" i="1"/>
  <c r="J266" i="1" s="1"/>
  <c r="B267" i="1" s="1"/>
  <c r="F145" i="1"/>
  <c r="L145" i="1" s="1"/>
  <c r="H145" i="1"/>
  <c r="J145" i="1" s="1"/>
  <c r="D267" i="1" l="1"/>
  <c r="I145" i="1"/>
  <c r="K145" i="1" s="1"/>
  <c r="C146" i="1" s="1"/>
  <c r="M145" i="1"/>
  <c r="I266" i="1"/>
  <c r="K266" i="1" s="1"/>
  <c r="C267" i="1" s="1"/>
  <c r="E267" i="1" s="1"/>
  <c r="B146" i="1"/>
  <c r="D146" i="1" l="1"/>
  <c r="F146" i="1" s="1"/>
  <c r="E146" i="1"/>
  <c r="G146" i="1" s="1"/>
  <c r="I146" i="1" l="1"/>
  <c r="K146" i="1" s="1"/>
  <c r="C147" i="1" s="1"/>
  <c r="M146" i="1"/>
  <c r="H146" i="1"/>
  <c r="J146" i="1" s="1"/>
  <c r="L146" i="1"/>
  <c r="F267" i="1"/>
  <c r="L267" i="1" s="1"/>
  <c r="B147" i="1"/>
  <c r="D147" i="1" l="1"/>
  <c r="G267" i="1"/>
  <c r="M267" i="1" s="1"/>
  <c r="H267" i="1"/>
  <c r="J267" i="1" s="1"/>
  <c r="B268" i="1" s="1"/>
  <c r="F147" i="1"/>
  <c r="L147" i="1" s="1"/>
  <c r="E147" i="1"/>
  <c r="H147" i="1" l="1"/>
  <c r="J147" i="1" s="1"/>
  <c r="I267" i="1"/>
  <c r="K267" i="1" s="1"/>
  <c r="C268" i="1" s="1"/>
  <c r="E268" i="1" s="1"/>
  <c r="B148" i="1"/>
  <c r="G147" i="1"/>
  <c r="M147" i="1" s="1"/>
  <c r="D268" i="1" l="1"/>
  <c r="I147" i="1"/>
  <c r="F268" i="1" l="1"/>
  <c r="L268" i="1" s="1"/>
  <c r="K147" i="1"/>
  <c r="C148" i="1" s="1"/>
  <c r="G268" i="1" l="1"/>
  <c r="M268" i="1" s="1"/>
  <c r="H268" i="1"/>
  <c r="J268" i="1" s="1"/>
  <c r="B269" i="1" s="1"/>
  <c r="E148" i="1"/>
  <c r="G148" i="1" s="1"/>
  <c r="M148" i="1" s="1"/>
  <c r="D148" i="1"/>
  <c r="F148" i="1" s="1"/>
  <c r="L148" i="1" s="1"/>
  <c r="I268" i="1" l="1"/>
  <c r="K268" i="1" s="1"/>
  <c r="C269" i="1" s="1"/>
  <c r="E269" i="1" s="1"/>
  <c r="H148" i="1"/>
  <c r="I148" i="1"/>
  <c r="K148" i="1" s="1"/>
  <c r="C149" i="1" s="1"/>
  <c r="D269" i="1" l="1"/>
  <c r="J148" i="1"/>
  <c r="B149" i="1" s="1"/>
  <c r="D149" i="1" s="1"/>
  <c r="F269" i="1" l="1"/>
  <c r="L269" i="1" s="1"/>
  <c r="E149" i="1"/>
  <c r="F149" i="1"/>
  <c r="H149" i="1" l="1"/>
  <c r="L149" i="1"/>
  <c r="G269" i="1"/>
  <c r="M269" i="1" s="1"/>
  <c r="H269" i="1"/>
  <c r="J269" i="1" s="1"/>
  <c r="B270" i="1" s="1"/>
  <c r="J149" i="1"/>
  <c r="B150" i="1" s="1"/>
  <c r="G149" i="1"/>
  <c r="M149" i="1" s="1"/>
  <c r="D270" i="1" l="1"/>
  <c r="I149" i="1"/>
  <c r="K149" i="1" s="1"/>
  <c r="C150" i="1" s="1"/>
  <c r="E150" i="1" s="1"/>
  <c r="G150" i="1" s="1"/>
  <c r="D150" i="1"/>
  <c r="F150" i="1" s="1"/>
  <c r="L150" i="1" s="1"/>
  <c r="I269" i="1"/>
  <c r="K269" i="1" s="1"/>
  <c r="C270" i="1" s="1"/>
  <c r="E270" i="1" s="1"/>
  <c r="H150" i="1" l="1"/>
  <c r="J150" i="1" s="1"/>
  <c r="B151" i="1" s="1"/>
  <c r="D151" i="1" s="1"/>
  <c r="F151" i="1" s="1"/>
  <c r="L151" i="1" s="1"/>
  <c r="I150" i="1"/>
  <c r="K150" i="1" s="1"/>
  <c r="C151" i="1" s="1"/>
  <c r="M150" i="1"/>
  <c r="E151" i="1"/>
  <c r="H151" i="1" l="1"/>
  <c r="J151" i="1" s="1"/>
  <c r="B152" i="1" s="1"/>
  <c r="F270" i="1"/>
  <c r="L270" i="1" s="1"/>
  <c r="G151" i="1"/>
  <c r="M151" i="1" s="1"/>
  <c r="G270" i="1" l="1"/>
  <c r="M270" i="1" s="1"/>
  <c r="H270" i="1"/>
  <c r="J270" i="1" s="1"/>
  <c r="B271" i="1" s="1"/>
  <c r="I151" i="1"/>
  <c r="I270" i="1" l="1"/>
  <c r="K270" i="1" s="1"/>
  <c r="C271" i="1" s="1"/>
  <c r="E271" i="1" s="1"/>
  <c r="K151" i="1"/>
  <c r="C152" i="1" s="1"/>
  <c r="E152" i="1" s="1"/>
  <c r="D271" i="1" l="1"/>
  <c r="D152" i="1"/>
  <c r="F152" i="1" s="1"/>
  <c r="L152" i="1" s="1"/>
  <c r="G152" i="1"/>
  <c r="M152" i="1" s="1"/>
  <c r="I152" i="1" l="1"/>
  <c r="K152" i="1" s="1"/>
  <c r="C153" i="1" s="1"/>
  <c r="F271" i="1"/>
  <c r="L271" i="1" s="1"/>
  <c r="H152" i="1"/>
  <c r="J152" i="1" s="1"/>
  <c r="B153" i="1"/>
  <c r="G271" i="1" l="1"/>
  <c r="M271" i="1" s="1"/>
  <c r="H271" i="1"/>
  <c r="J271" i="1" s="1"/>
  <c r="B272" i="1" s="1"/>
  <c r="D153" i="1"/>
  <c r="F153" i="1" s="1"/>
  <c r="E153" i="1"/>
  <c r="G153" i="1" s="1"/>
  <c r="M153" i="1" s="1"/>
  <c r="D272" i="1" l="1"/>
  <c r="H153" i="1"/>
  <c r="J153" i="1" s="1"/>
  <c r="B154" i="1" s="1"/>
  <c r="L153" i="1"/>
  <c r="I271" i="1"/>
  <c r="K271" i="1" s="1"/>
  <c r="C272" i="1" s="1"/>
  <c r="E272" i="1" s="1"/>
  <c r="I153" i="1"/>
  <c r="K153" i="1" l="1"/>
  <c r="C154" i="1" s="1"/>
  <c r="E154" i="1" s="1"/>
  <c r="F272" i="1" l="1"/>
  <c r="L272" i="1" s="1"/>
  <c r="D154" i="1"/>
  <c r="F154" i="1" s="1"/>
  <c r="L154" i="1" s="1"/>
  <c r="G154" i="1"/>
  <c r="M154" i="1" s="1"/>
  <c r="I154" i="1" l="1"/>
  <c r="G272" i="1"/>
  <c r="M272" i="1" s="1"/>
  <c r="H272" i="1"/>
  <c r="J272" i="1" s="1"/>
  <c r="B273" i="1" s="1"/>
  <c r="K154" i="1"/>
  <c r="C155" i="1" s="1"/>
  <c r="H154" i="1"/>
  <c r="J154" i="1" s="1"/>
  <c r="B155" i="1"/>
  <c r="D273" i="1" l="1"/>
  <c r="I272" i="1"/>
  <c r="K272" i="1" s="1"/>
  <c r="C273" i="1" s="1"/>
  <c r="E273" i="1" s="1"/>
  <c r="D155" i="1"/>
  <c r="F155" i="1" s="1"/>
  <c r="L155" i="1" s="1"/>
  <c r="E155" i="1"/>
  <c r="H155" i="1" l="1"/>
  <c r="J155" i="1" s="1"/>
  <c r="B156" i="1" s="1"/>
  <c r="G155" i="1"/>
  <c r="M155" i="1" s="1"/>
  <c r="F273" i="1" l="1"/>
  <c r="L273" i="1" s="1"/>
  <c r="I155" i="1"/>
  <c r="G273" i="1" l="1"/>
  <c r="M273" i="1" s="1"/>
  <c r="H273" i="1"/>
  <c r="J273" i="1" s="1"/>
  <c r="B274" i="1" s="1"/>
  <c r="K155" i="1"/>
  <c r="C156" i="1" s="1"/>
  <c r="D274" i="1" l="1"/>
  <c r="I273" i="1"/>
  <c r="K273" i="1" s="1"/>
  <c r="C274" i="1" s="1"/>
  <c r="E274" i="1" s="1"/>
  <c r="D156" i="1"/>
  <c r="F156" i="1" s="1"/>
  <c r="E156" i="1"/>
  <c r="G156" i="1" s="1"/>
  <c r="M156" i="1" s="1"/>
  <c r="H156" i="1" l="1"/>
  <c r="L156" i="1"/>
  <c r="J156" i="1"/>
  <c r="B157" i="1" s="1"/>
  <c r="I156" i="1"/>
  <c r="F274" i="1" l="1"/>
  <c r="L274" i="1" s="1"/>
  <c r="K156" i="1"/>
  <c r="C157" i="1" s="1"/>
  <c r="G274" i="1" l="1"/>
  <c r="M274" i="1" s="1"/>
  <c r="H274" i="1"/>
  <c r="J274" i="1" s="1"/>
  <c r="B275" i="1" s="1"/>
  <c r="E157" i="1"/>
  <c r="G157" i="1" s="1"/>
  <c r="D157" i="1"/>
  <c r="F157" i="1" s="1"/>
  <c r="L157" i="1" s="1"/>
  <c r="I157" i="1" l="1"/>
  <c r="K157" i="1" s="1"/>
  <c r="C158" i="1" s="1"/>
  <c r="M157" i="1"/>
  <c r="I274" i="1"/>
  <c r="K274" i="1" s="1"/>
  <c r="C275" i="1" s="1"/>
  <c r="E275" i="1" s="1"/>
  <c r="H157" i="1"/>
  <c r="D275" i="1" l="1"/>
  <c r="J157" i="1"/>
  <c r="B158" i="1" s="1"/>
  <c r="F275" i="1" l="1"/>
  <c r="L275" i="1" s="1"/>
  <c r="D158" i="1"/>
  <c r="F158" i="1" s="1"/>
  <c r="E158" i="1"/>
  <c r="H158" i="1" l="1"/>
  <c r="J158" i="1" s="1"/>
  <c r="B159" i="1" s="1"/>
  <c r="L158" i="1"/>
  <c r="G275" i="1"/>
  <c r="M275" i="1" s="1"/>
  <c r="H275" i="1"/>
  <c r="J275" i="1" s="1"/>
  <c r="B276" i="1" s="1"/>
  <c r="G158" i="1"/>
  <c r="M158" i="1" s="1"/>
  <c r="D276" i="1" l="1"/>
  <c r="I158" i="1"/>
  <c r="K158" i="1" s="1"/>
  <c r="C159" i="1" s="1"/>
  <c r="D159" i="1" s="1"/>
  <c r="F159" i="1" s="1"/>
  <c r="I275" i="1"/>
  <c r="K275" i="1" s="1"/>
  <c r="C276" i="1" s="1"/>
  <c r="E276" i="1" s="1"/>
  <c r="H159" i="1" l="1"/>
  <c r="J159" i="1" s="1"/>
  <c r="B160" i="1" s="1"/>
  <c r="L159" i="1"/>
  <c r="E159" i="1"/>
  <c r="G159" i="1" s="1"/>
  <c r="M159" i="1" s="1"/>
  <c r="I159" i="1" l="1"/>
  <c r="K159" i="1" s="1"/>
  <c r="C160" i="1" s="1"/>
  <c r="F276" i="1"/>
  <c r="L276" i="1" s="1"/>
  <c r="G276" i="1" l="1"/>
  <c r="M276" i="1" s="1"/>
  <c r="H276" i="1"/>
  <c r="J276" i="1" s="1"/>
  <c r="B277" i="1" s="1"/>
  <c r="E160" i="1"/>
  <c r="G160" i="1" s="1"/>
  <c r="D160" i="1"/>
  <c r="D277" i="1" l="1"/>
  <c r="I160" i="1"/>
  <c r="K160" i="1" s="1"/>
  <c r="C161" i="1" s="1"/>
  <c r="M160" i="1"/>
  <c r="I276" i="1"/>
  <c r="K276" i="1" s="1"/>
  <c r="C277" i="1" s="1"/>
  <c r="E277" i="1" s="1"/>
  <c r="F160" i="1"/>
  <c r="L160" i="1" s="1"/>
  <c r="H160" i="1" l="1"/>
  <c r="J160" i="1" s="1"/>
  <c r="B161" i="1" s="1"/>
  <c r="E161" i="1"/>
  <c r="G161" i="1" s="1"/>
  <c r="D161" i="1"/>
  <c r="F161" i="1" s="1"/>
  <c r="I161" i="1" l="1"/>
  <c r="K161" i="1" s="1"/>
  <c r="C162" i="1" s="1"/>
  <c r="M161" i="1"/>
  <c r="H161" i="1"/>
  <c r="J161" i="1" s="1"/>
  <c r="B162" i="1" s="1"/>
  <c r="D162" i="1" s="1"/>
  <c r="L161" i="1"/>
  <c r="F277" i="1"/>
  <c r="L277" i="1" s="1"/>
  <c r="E162" i="1" l="1"/>
  <c r="G162" i="1" s="1"/>
  <c r="M162" i="1" s="1"/>
  <c r="G277" i="1"/>
  <c r="M277" i="1" s="1"/>
  <c r="H277" i="1"/>
  <c r="J277" i="1" s="1"/>
  <c r="B278" i="1" s="1"/>
  <c r="I162" i="1"/>
  <c r="K162" i="1" s="1"/>
  <c r="C163" i="1" s="1"/>
  <c r="F162" i="1"/>
  <c r="L162" i="1" s="1"/>
  <c r="D278" i="1" l="1"/>
  <c r="I277" i="1"/>
  <c r="K277" i="1" s="1"/>
  <c r="C278" i="1" s="1"/>
  <c r="E278" i="1" s="1"/>
  <c r="H162" i="1"/>
  <c r="G278" i="1" l="1"/>
  <c r="M278" i="1" s="1"/>
  <c r="F278" i="1"/>
  <c r="L278" i="1" s="1"/>
  <c r="J162" i="1"/>
  <c r="B163" i="1" s="1"/>
  <c r="I278" i="1" l="1"/>
  <c r="K278" i="1" s="1"/>
  <c r="C279" i="1" s="1"/>
  <c r="E279" i="1" s="1"/>
  <c r="H278" i="1"/>
  <c r="J278" i="1" s="1"/>
  <c r="B279" i="1" s="1"/>
  <c r="D163" i="1"/>
  <c r="F163" i="1" s="1"/>
  <c r="E163" i="1"/>
  <c r="G163" i="1" s="1"/>
  <c r="D279" i="1" l="1"/>
  <c r="F279" i="1" s="1"/>
  <c r="L279" i="1" s="1"/>
  <c r="H163" i="1"/>
  <c r="J163" i="1" s="1"/>
  <c r="B164" i="1" s="1"/>
  <c r="L163" i="1"/>
  <c r="I163" i="1"/>
  <c r="K163" i="1" s="1"/>
  <c r="C164" i="1" s="1"/>
  <c r="M163" i="1"/>
  <c r="G279" i="1"/>
  <c r="M279" i="1" s="1"/>
  <c r="I279" i="1" l="1"/>
  <c r="K279" i="1" s="1"/>
  <c r="C280" i="1" s="1"/>
  <c r="H279" i="1"/>
  <c r="J279" i="1" s="1"/>
  <c r="B280" i="1" s="1"/>
  <c r="D280" i="1" s="1"/>
  <c r="D164" i="1"/>
  <c r="E164" i="1"/>
  <c r="G164" i="1" s="1"/>
  <c r="M164" i="1" s="1"/>
  <c r="F164" i="1" l="1"/>
  <c r="L164" i="1" s="1"/>
  <c r="E280" i="1"/>
  <c r="F280" i="1"/>
  <c r="L280" i="1" s="1"/>
  <c r="I164" i="1"/>
  <c r="K164" i="1" s="1"/>
  <c r="H164" i="1" l="1"/>
  <c r="J164" i="1" s="1"/>
  <c r="H280" i="1"/>
  <c r="J280" i="1" s="1"/>
  <c r="B281" i="1" s="1"/>
  <c r="G280" i="1" l="1"/>
  <c r="M280" i="1" s="1"/>
  <c r="I280" i="1" l="1"/>
  <c r="K280" i="1" s="1"/>
  <c r="C281" i="1" s="1"/>
  <c r="E281" i="1" l="1"/>
  <c r="D281" i="1"/>
  <c r="F281" i="1" s="1"/>
  <c r="L281" i="1" s="1"/>
  <c r="G281" i="1" l="1"/>
  <c r="M281" i="1" s="1"/>
  <c r="H281" i="1"/>
  <c r="J281" i="1" s="1"/>
  <c r="B282" i="1" s="1"/>
  <c r="I281" i="1" l="1"/>
  <c r="K281" i="1" s="1"/>
  <c r="C282" i="1" s="1"/>
  <c r="E282" i="1" s="1"/>
  <c r="D282" i="1" l="1"/>
  <c r="F282" i="1"/>
  <c r="L282" i="1" s="1"/>
  <c r="G282" i="1" l="1"/>
  <c r="M282" i="1" s="1"/>
  <c r="H282" i="1"/>
  <c r="J282" i="1" s="1"/>
  <c r="B283" i="1" s="1"/>
  <c r="I282" i="1" l="1"/>
  <c r="K282" i="1" s="1"/>
  <c r="C283" i="1" s="1"/>
  <c r="E283" i="1" s="1"/>
  <c r="D283" i="1" l="1"/>
  <c r="F283" i="1" s="1"/>
  <c r="L283" i="1" s="1"/>
  <c r="G283" i="1" l="1"/>
  <c r="M283" i="1" s="1"/>
  <c r="H283" i="1"/>
  <c r="J283" i="1" s="1"/>
  <c r="B284" i="1" s="1"/>
  <c r="I283" i="1" l="1"/>
  <c r="K283" i="1" s="1"/>
  <c r="C284" i="1" s="1"/>
  <c r="E284" i="1" s="1"/>
  <c r="D284" i="1" l="1"/>
  <c r="F284" i="1" s="1"/>
  <c r="L284" i="1" s="1"/>
  <c r="G284" i="1" l="1"/>
  <c r="M284" i="1" s="1"/>
  <c r="H284" i="1"/>
  <c r="J284" i="1" s="1"/>
  <c r="B285" i="1" s="1"/>
  <c r="I284" i="1" l="1"/>
  <c r="K284" i="1" s="1"/>
  <c r="C285" i="1" s="1"/>
  <c r="E285" i="1" s="1"/>
  <c r="D285" i="1" l="1"/>
  <c r="F285" i="1" s="1"/>
  <c r="L285" i="1" s="1"/>
  <c r="G285" i="1" l="1"/>
  <c r="M285" i="1" s="1"/>
  <c r="H285" i="1"/>
  <c r="J285" i="1" s="1"/>
  <c r="B286" i="1" s="1"/>
  <c r="I285" i="1" l="1"/>
  <c r="K285" i="1" s="1"/>
  <c r="C286" i="1" s="1"/>
  <c r="E286" i="1" s="1"/>
  <c r="D286" i="1" l="1"/>
  <c r="F286" i="1"/>
  <c r="L286" i="1" s="1"/>
  <c r="G286" i="1" l="1"/>
  <c r="M286" i="1" s="1"/>
  <c r="H286" i="1"/>
  <c r="J286" i="1" s="1"/>
  <c r="B287" i="1" s="1"/>
  <c r="I286" i="1" l="1"/>
  <c r="K286" i="1" s="1"/>
  <c r="C287" i="1" s="1"/>
  <c r="E287" i="1" s="1"/>
  <c r="D287" i="1" l="1"/>
  <c r="F287" i="1"/>
  <c r="L287" i="1" s="1"/>
  <c r="G287" i="1" l="1"/>
  <c r="M287" i="1" s="1"/>
  <c r="H287" i="1"/>
  <c r="J287" i="1" s="1"/>
  <c r="B288" i="1" s="1"/>
  <c r="I287" i="1" l="1"/>
  <c r="K287" i="1" s="1"/>
  <c r="C288" i="1" s="1"/>
  <c r="E288" i="1" s="1"/>
  <c r="D288" i="1" l="1"/>
  <c r="F288" i="1" s="1"/>
  <c r="L288" i="1" s="1"/>
  <c r="G288" i="1" l="1"/>
  <c r="M288" i="1" s="1"/>
  <c r="H288" i="1"/>
  <c r="J288" i="1" s="1"/>
  <c r="B289" i="1" s="1"/>
  <c r="I288" i="1" l="1"/>
  <c r="K288" i="1" s="1"/>
  <c r="C289" i="1" s="1"/>
  <c r="E289" i="1" s="1"/>
  <c r="D289" i="1" l="1"/>
  <c r="F289" i="1"/>
  <c r="L289" i="1" s="1"/>
  <c r="G289" i="1" l="1"/>
  <c r="M289" i="1" s="1"/>
  <c r="H289" i="1"/>
  <c r="J289" i="1" s="1"/>
  <c r="I289" i="1" l="1"/>
  <c r="K289" i="1" s="1"/>
</calcChain>
</file>

<file path=xl/sharedStrings.xml><?xml version="1.0" encoding="utf-8"?>
<sst xmlns="http://schemas.openxmlformats.org/spreadsheetml/2006/main" count="45" uniqueCount="24">
  <si>
    <t>rho</t>
  </si>
  <si>
    <t>Budget</t>
  </si>
  <si>
    <t>price g(1)</t>
  </si>
  <si>
    <t>Optimal1</t>
  </si>
  <si>
    <t>Firm 1 g</t>
  </si>
  <si>
    <t>Firm 0 g</t>
  </si>
  <si>
    <t>stock clearing price based on that demand</t>
  </si>
  <si>
    <t>output (based on ratio of demand)</t>
  </si>
  <si>
    <t>Optimal0</t>
  </si>
  <si>
    <t>price g(0)</t>
  </si>
  <si>
    <t>diff0</t>
  </si>
  <si>
    <t>diff1</t>
  </si>
  <si>
    <t>diff between optima and output</t>
  </si>
  <si>
    <t>adder for price differences</t>
  </si>
  <si>
    <t>Price change magnitude</t>
  </si>
  <si>
    <t>use polarity of diff to test direction of prices &amp; production</t>
  </si>
  <si>
    <t>pol0</t>
  </si>
  <si>
    <t>pol1</t>
  </si>
  <si>
    <t>polarity of change</t>
  </si>
  <si>
    <t>for comparative statics, thesisdiary section "yes, with the rethinking"</t>
  </si>
  <si>
    <t>Fits diff eq description: p' = f - c.</t>
  </si>
  <si>
    <t>Output per unit input</t>
  </si>
  <si>
    <t>Firm 0 output per unit input</t>
  </si>
  <si>
    <t>Firm 1 output per unit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</si>
</sst>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0" xfId="0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Optimal0</c:v>
                </c:pt>
              </c:strCache>
            </c:strRef>
          </c:tx>
          <c:marker>
            <c:symbol val="none"/>
          </c:marker>
          <c:cat>
            <c:numRef>
              <c:f>Sheet1!$B$9:$B$34</c:f>
              <c:numCache>
                <c:formatCode>0.0000</c:formatCode>
                <c:ptCount val="26"/>
                <c:pt idx="0">
                  <c:v>0.57666666666666588</c:v>
                </c:pt>
                <c:pt idx="1">
                  <c:v>0.58666666666666589</c:v>
                </c:pt>
                <c:pt idx="2">
                  <c:v>0.5966666666666659</c:v>
                </c:pt>
                <c:pt idx="3">
                  <c:v>0.60666666666666591</c:v>
                </c:pt>
                <c:pt idx="4">
                  <c:v>0.61666666666666592</c:v>
                </c:pt>
                <c:pt idx="5">
                  <c:v>0.62666666666666593</c:v>
                </c:pt>
                <c:pt idx="6">
                  <c:v>0.63666666666666594</c:v>
                </c:pt>
                <c:pt idx="7">
                  <c:v>0.64666666666666595</c:v>
                </c:pt>
                <c:pt idx="8">
                  <c:v>0.65666666666666595</c:v>
                </c:pt>
                <c:pt idx="9">
                  <c:v>0.66666666666666596</c:v>
                </c:pt>
                <c:pt idx="10">
                  <c:v>0.67666666666666597</c:v>
                </c:pt>
                <c:pt idx="11">
                  <c:v>0.68666666666666598</c:v>
                </c:pt>
                <c:pt idx="12">
                  <c:v>0.69666666666666599</c:v>
                </c:pt>
                <c:pt idx="13">
                  <c:v>0.706666666666666</c:v>
                </c:pt>
                <c:pt idx="14">
                  <c:v>0.71666666666666601</c:v>
                </c:pt>
                <c:pt idx="15">
                  <c:v>0.72666666666666602</c:v>
                </c:pt>
                <c:pt idx="16">
                  <c:v>0.73666666666666603</c:v>
                </c:pt>
                <c:pt idx="17">
                  <c:v>0.74666666666666603</c:v>
                </c:pt>
                <c:pt idx="18">
                  <c:v>0.75666666666666604</c:v>
                </c:pt>
                <c:pt idx="19">
                  <c:v>0.76666666666666605</c:v>
                </c:pt>
                <c:pt idx="20">
                  <c:v>0.77666666666666606</c:v>
                </c:pt>
                <c:pt idx="21">
                  <c:v>0.78666666666666607</c:v>
                </c:pt>
                <c:pt idx="22">
                  <c:v>0.79666666666666608</c:v>
                </c:pt>
                <c:pt idx="23">
                  <c:v>0.80666666666666609</c:v>
                </c:pt>
                <c:pt idx="24">
                  <c:v>0.8166666666666661</c:v>
                </c:pt>
                <c:pt idx="25">
                  <c:v>0.82666666666666611</c:v>
                </c:pt>
              </c:numCache>
            </c:numRef>
          </c:cat>
          <c:val>
            <c:numRef>
              <c:f>Sheet1!$D$9:$D$34</c:f>
              <c:numCache>
                <c:formatCode>General</c:formatCode>
                <c:ptCount val="26"/>
                <c:pt idx="0">
                  <c:v>1.2966716080652279</c:v>
                </c:pt>
                <c:pt idx="1">
                  <c:v>1.2341786791906495</c:v>
                </c:pt>
                <c:pt idx="2">
                  <c:v>1.1717083322423485</c:v>
                </c:pt>
                <c:pt idx="3">
                  <c:v>1.1094017251249315</c:v>
                </c:pt>
                <c:pt idx="4">
                  <c:v>1.0474289484076462</c:v>
                </c:pt>
                <c:pt idx="5">
                  <c:v>0.98598538414049908</c:v>
                </c:pt>
                <c:pt idx="6">
                  <c:v>0.92528690231033728</c:v>
                </c:pt>
                <c:pt idx="7">
                  <c:v>0.8655640237832688</c:v>
                </c:pt>
                <c:pt idx="8">
                  <c:v>0.80705527002955713</c:v>
                </c:pt>
                <c:pt idx="9">
                  <c:v>0.75000000000000067</c:v>
                </c:pt>
                <c:pt idx="10">
                  <c:v>0.69463109263141654</c:v>
                </c:pt>
                <c:pt idx="11">
                  <c:v>0.6411678610973115</c:v>
                </c:pt>
                <c:pt idx="12">
                  <c:v>0.58980957731447792</c:v>
                </c:pt>
                <c:pt idx="13">
                  <c:v>0.54072994236597427</c:v>
                </c:pt>
                <c:pt idx="14">
                  <c:v>0.49407276532365502</c:v>
                </c:pt>
                <c:pt idx="15">
                  <c:v>0.44994901847368235</c:v>
                </c:pt>
                <c:pt idx="16">
                  <c:v>0.40843533270868765</c:v>
                </c:pt>
                <c:pt idx="17">
                  <c:v>0.36957389492163389</c:v>
                </c:pt>
                <c:pt idx="18">
                  <c:v>0.33337362028509215</c:v>
                </c:pt>
                <c:pt idx="19">
                  <c:v>0.29981240411107529</c:v>
                </c:pt>
                <c:pt idx="20">
                  <c:v>0.26884021469394381</c:v>
                </c:pt>
                <c:pt idx="21">
                  <c:v>0.24038277060152513</c:v>
                </c:pt>
                <c:pt idx="22">
                  <c:v>0.21434555068062106</c:v>
                </c:pt>
                <c:pt idx="23">
                  <c:v>0.19061790786606747</c:v>
                </c:pt>
                <c:pt idx="24">
                  <c:v>0.16907709300125257</c:v>
                </c:pt>
                <c:pt idx="25">
                  <c:v>0.14959203653654099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Optimal1</c:v>
                </c:pt>
              </c:strCache>
            </c:strRef>
          </c:tx>
          <c:marker>
            <c:symbol val="none"/>
          </c:marker>
          <c:cat>
            <c:numRef>
              <c:f>Sheet1!$B$9:$B$34</c:f>
              <c:numCache>
                <c:formatCode>0.0000</c:formatCode>
                <c:ptCount val="26"/>
                <c:pt idx="0">
                  <c:v>0.57666666666666588</c:v>
                </c:pt>
                <c:pt idx="1">
                  <c:v>0.58666666666666589</c:v>
                </c:pt>
                <c:pt idx="2">
                  <c:v>0.5966666666666659</c:v>
                </c:pt>
                <c:pt idx="3">
                  <c:v>0.60666666666666591</c:v>
                </c:pt>
                <c:pt idx="4">
                  <c:v>0.61666666666666592</c:v>
                </c:pt>
                <c:pt idx="5">
                  <c:v>0.62666666666666593</c:v>
                </c:pt>
                <c:pt idx="6">
                  <c:v>0.63666666666666594</c:v>
                </c:pt>
                <c:pt idx="7">
                  <c:v>0.64666666666666595</c:v>
                </c:pt>
                <c:pt idx="8">
                  <c:v>0.65666666666666595</c:v>
                </c:pt>
                <c:pt idx="9">
                  <c:v>0.66666666666666596</c:v>
                </c:pt>
                <c:pt idx="10">
                  <c:v>0.67666666666666597</c:v>
                </c:pt>
                <c:pt idx="11">
                  <c:v>0.68666666666666598</c:v>
                </c:pt>
                <c:pt idx="12">
                  <c:v>0.69666666666666599</c:v>
                </c:pt>
                <c:pt idx="13">
                  <c:v>0.706666666666666</c:v>
                </c:pt>
                <c:pt idx="14">
                  <c:v>0.71666666666666601</c:v>
                </c:pt>
                <c:pt idx="15">
                  <c:v>0.72666666666666602</c:v>
                </c:pt>
                <c:pt idx="16">
                  <c:v>0.73666666666666603</c:v>
                </c:pt>
                <c:pt idx="17">
                  <c:v>0.74666666666666603</c:v>
                </c:pt>
                <c:pt idx="18">
                  <c:v>0.75666666666666604</c:v>
                </c:pt>
                <c:pt idx="19">
                  <c:v>0.76666666666666605</c:v>
                </c:pt>
                <c:pt idx="20">
                  <c:v>0.77666666666666606</c:v>
                </c:pt>
                <c:pt idx="21">
                  <c:v>0.78666666666666607</c:v>
                </c:pt>
                <c:pt idx="22">
                  <c:v>0.79666666666666608</c:v>
                </c:pt>
                <c:pt idx="23">
                  <c:v>0.80666666666666609</c:v>
                </c:pt>
                <c:pt idx="24">
                  <c:v>0.8166666666666661</c:v>
                </c:pt>
                <c:pt idx="25">
                  <c:v>0.82666666666666611</c:v>
                </c:pt>
              </c:numCache>
            </c:numRef>
          </c:cat>
          <c:val>
            <c:numRef>
              <c:f>Sheet1!$E$9:$E$34</c:f>
              <c:numCache>
                <c:formatCode>General</c:formatCode>
                <c:ptCount val="26"/>
                <c:pt idx="0">
                  <c:v>0.33337362028509215</c:v>
                </c:pt>
                <c:pt idx="1">
                  <c:v>0.36957389492163389</c:v>
                </c:pt>
                <c:pt idx="2">
                  <c:v>0.40843533270868765</c:v>
                </c:pt>
                <c:pt idx="3">
                  <c:v>0.44994901847368235</c:v>
                </c:pt>
                <c:pt idx="4">
                  <c:v>0.49407276532365502</c:v>
                </c:pt>
                <c:pt idx="5">
                  <c:v>0.54072994236597427</c:v>
                </c:pt>
                <c:pt idx="6">
                  <c:v>0.58980957731447792</c:v>
                </c:pt>
                <c:pt idx="7">
                  <c:v>0.6411678610973115</c:v>
                </c:pt>
                <c:pt idx="8">
                  <c:v>0.69463109263141654</c:v>
                </c:pt>
                <c:pt idx="9">
                  <c:v>0.75000000000000067</c:v>
                </c:pt>
                <c:pt idx="10">
                  <c:v>0.80705527002955713</c:v>
                </c:pt>
                <c:pt idx="11">
                  <c:v>0.8655640237832688</c:v>
                </c:pt>
                <c:pt idx="12">
                  <c:v>0.92528690231033728</c:v>
                </c:pt>
                <c:pt idx="13">
                  <c:v>0.98598538414049908</c:v>
                </c:pt>
                <c:pt idx="14">
                  <c:v>1.0474289484076462</c:v>
                </c:pt>
                <c:pt idx="15">
                  <c:v>1.1094017251249315</c:v>
                </c:pt>
                <c:pt idx="16">
                  <c:v>1.1717083322423485</c:v>
                </c:pt>
                <c:pt idx="17">
                  <c:v>1.2341786791906495</c:v>
                </c:pt>
                <c:pt idx="18">
                  <c:v>1.2966716080652279</c:v>
                </c:pt>
                <c:pt idx="19">
                  <c:v>1.3590773356144297</c:v>
                </c:pt>
                <c:pt idx="20">
                  <c:v>1.4213187423731228</c:v>
                </c:pt>
                <c:pt idx="21">
                  <c:v>1.48335162279293</c:v>
                </c:pt>
                <c:pt idx="22">
                  <c:v>1.5451640583064097</c:v>
                </c:pt>
                <c:pt idx="23">
                  <c:v>1.6067751031418487</c:v>
                </c:pt>
                <c:pt idx="24">
                  <c:v>1.6682329820302815</c:v>
                </c:pt>
                <c:pt idx="25">
                  <c:v>1.7296129930193314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880768"/>
        <c:axId val="102882688"/>
      </c:lineChart>
      <c:catAx>
        <c:axId val="102880768"/>
        <c:scaling>
          <c:orientation val="minMax"/>
        </c:scaling>
        <c:delete val="0"/>
        <c:axPos val="b"/>
        <c:numFmt formatCode="0.0000" sourceLinked="1"/>
        <c:majorTickMark val="out"/>
        <c:minorTickMark val="none"/>
        <c:tickLblPos val="nextTo"/>
        <c:crossAx val="102882688"/>
        <c:crosses val="autoZero"/>
        <c:auto val="1"/>
        <c:lblAlgn val="ctr"/>
        <c:lblOffset val="100"/>
        <c:noMultiLvlLbl val="0"/>
      </c:catAx>
      <c:valAx>
        <c:axId val="102882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2880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Sheet1!$F$4</c:f>
              <c:strCache>
                <c:ptCount val="1"/>
                <c:pt idx="0">
                  <c:v>Firm 0 g</c:v>
                </c:pt>
              </c:strCache>
            </c:strRef>
          </c:tx>
          <c:marker>
            <c:symbol val="none"/>
          </c:marker>
          <c:val>
            <c:numRef>
              <c:f>Sheet1!$F$9:$F$34</c:f>
              <c:numCache>
                <c:formatCode>General</c:formatCode>
                <c:ptCount val="26"/>
                <c:pt idx="0">
                  <c:v>1.3068733096450944</c:v>
                </c:pt>
                <c:pt idx="1">
                  <c:v>1.2483020545578456</c:v>
                </c:pt>
                <c:pt idx="2">
                  <c:v>1.187887107394892</c:v>
                </c:pt>
                <c:pt idx="3">
                  <c:v>1.1260159126392544</c:v>
                </c:pt>
                <c:pt idx="4">
                  <c:v>1.063120082986506</c:v>
                </c:pt>
                <c:pt idx="5">
                  <c:v>0.99966502661689094</c:v>
                </c:pt>
                <c:pt idx="6">
                  <c:v>0.93613734582366348</c:v>
                </c:pt>
                <c:pt idx="7">
                  <c:v>0.87303064448346857</c:v>
                </c:pt>
                <c:pt idx="8">
                  <c:v>0.8108305667474105</c:v>
                </c:pt>
                <c:pt idx="9">
                  <c:v>0.74999999999999978</c:v>
                </c:pt>
                <c:pt idx="10">
                  <c:v>0.69096539080310926</c:v>
                </c:pt>
                <c:pt idx="11">
                  <c:v>0.63410503629741577</c:v>
                </c:pt>
                <c:pt idx="12">
                  <c:v>0.57974003460667389</c:v>
                </c:pt>
                <c:pt idx="13">
                  <c:v>0.52812833037137641</c:v>
                </c:pt>
                <c:pt idx="14">
                  <c:v>0.47946201024764884</c:v>
                </c:pt>
                <c:pt idx="15">
                  <c:v>0.43386772633609028</c:v>
                </c:pt>
                <c:pt idx="16">
                  <c:v>0.39140988777649055</c:v>
                </c:pt>
                <c:pt idx="17">
                  <c:v>0.35209608739045822</c:v>
                </c:pt>
                <c:pt idx="18">
                  <c:v>0.31588413370797253</c:v>
                </c:pt>
                <c:pt idx="19">
                  <c:v>0.28269003835353346</c:v>
                </c:pt>
                <c:pt idx="20">
                  <c:v>0.25239635328585874</c:v>
                </c:pt>
                <c:pt idx="21">
                  <c:v>0.22486034376308223</c:v>
                </c:pt>
                <c:pt idx="22">
                  <c:v>0.19992160077924653</c:v>
                </c:pt>
                <c:pt idx="23">
                  <c:v>0.17740882211985529</c:v>
                </c:pt>
                <c:pt idx="24">
                  <c:v>0.15714560905379721</c:v>
                </c:pt>
                <c:pt idx="25">
                  <c:v>0.13895522599144372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Sheet1!$G$4</c:f>
              <c:strCache>
                <c:ptCount val="1"/>
                <c:pt idx="0">
                  <c:v>Firm 1 g</c:v>
                </c:pt>
              </c:strCache>
            </c:strRef>
          </c:tx>
          <c:marker>
            <c:symbol val="none"/>
          </c:marker>
          <c:val>
            <c:numRef>
              <c:f>Sheet1!$G$9:$G$34</c:f>
              <c:numCache>
                <c:formatCode>General</c:formatCode>
                <c:ptCount val="26"/>
                <c:pt idx="0">
                  <c:v>0.31588413370797253</c:v>
                </c:pt>
                <c:pt idx="1">
                  <c:v>0.35209608739045822</c:v>
                </c:pt>
                <c:pt idx="2">
                  <c:v>0.39140988777649055</c:v>
                </c:pt>
                <c:pt idx="3">
                  <c:v>0.43386772633609028</c:v>
                </c:pt>
                <c:pt idx="4">
                  <c:v>0.47946201024764884</c:v>
                </c:pt>
                <c:pt idx="5">
                  <c:v>0.52812833037137641</c:v>
                </c:pt>
                <c:pt idx="6">
                  <c:v>0.57974003460667389</c:v>
                </c:pt>
                <c:pt idx="7">
                  <c:v>0.63410503629741577</c:v>
                </c:pt>
                <c:pt idx="8">
                  <c:v>0.69096539080310926</c:v>
                </c:pt>
                <c:pt idx="9">
                  <c:v>0.74999999999999978</c:v>
                </c:pt>
                <c:pt idx="10">
                  <c:v>0.8108305667474105</c:v>
                </c:pt>
                <c:pt idx="11">
                  <c:v>0.87303064448346857</c:v>
                </c:pt>
                <c:pt idx="12">
                  <c:v>0.93613734582366348</c:v>
                </c:pt>
                <c:pt idx="13">
                  <c:v>0.99966502661689094</c:v>
                </c:pt>
                <c:pt idx="14">
                  <c:v>1.063120082986506</c:v>
                </c:pt>
                <c:pt idx="15">
                  <c:v>1.1260159126392544</c:v>
                </c:pt>
                <c:pt idx="16">
                  <c:v>1.187887107394892</c:v>
                </c:pt>
                <c:pt idx="17">
                  <c:v>1.2483020545578456</c:v>
                </c:pt>
                <c:pt idx="18">
                  <c:v>1.3068733096450944</c:v>
                </c:pt>
                <c:pt idx="19">
                  <c:v>1.3632653324129032</c:v>
                </c:pt>
                <c:pt idx="20">
                  <c:v>1.4171994196366742</c:v>
                </c:pt>
                <c:pt idx="21">
                  <c:v>1.4684558922702839</c:v>
                </c:pt>
                <c:pt idx="22">
                  <c:v>1.5168737792770011</c:v>
                </c:pt>
                <c:pt idx="23">
                  <c:v>1.562348372738678</c:v>
                </c:pt>
                <c:pt idx="24">
                  <c:v>1.6048271052497065</c:v>
                </c:pt>
                <c:pt idx="25">
                  <c:v>1.6443042251772826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073856"/>
        <c:axId val="122075392"/>
      </c:lineChart>
      <c:catAx>
        <c:axId val="122073856"/>
        <c:scaling>
          <c:orientation val="minMax"/>
        </c:scaling>
        <c:delete val="0"/>
        <c:axPos val="b"/>
        <c:majorTickMark val="out"/>
        <c:minorTickMark val="none"/>
        <c:tickLblPos val="nextTo"/>
        <c:crossAx val="122075392"/>
        <c:crosses val="autoZero"/>
        <c:auto val="1"/>
        <c:lblAlgn val="ctr"/>
        <c:lblOffset val="100"/>
        <c:noMultiLvlLbl val="0"/>
      </c:catAx>
      <c:valAx>
        <c:axId val="122075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073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Optimal0</c:v>
                </c:pt>
              </c:strCache>
            </c:strRef>
          </c:tx>
          <c:marker>
            <c:symbol val="none"/>
          </c:marker>
          <c:val>
            <c:numRef>
              <c:f>Sheet1!$D$5:$D$33</c:f>
              <c:numCache>
                <c:formatCode>General</c:formatCode>
                <c:ptCount val="29"/>
                <c:pt idx="0">
                  <c:v>1.5451640583064097</c:v>
                </c:pt>
                <c:pt idx="1">
                  <c:v>1.48335162279293</c:v>
                </c:pt>
                <c:pt idx="2">
                  <c:v>1.4213187423731228</c:v>
                </c:pt>
                <c:pt idx="3">
                  <c:v>1.3590773356144297</c:v>
                </c:pt>
                <c:pt idx="4">
                  <c:v>1.2966716080652279</c:v>
                </c:pt>
                <c:pt idx="5">
                  <c:v>1.2341786791906495</c:v>
                </c:pt>
                <c:pt idx="6">
                  <c:v>1.1717083322423485</c:v>
                </c:pt>
                <c:pt idx="7">
                  <c:v>1.1094017251249315</c:v>
                </c:pt>
                <c:pt idx="8">
                  <c:v>1.0474289484076462</c:v>
                </c:pt>
                <c:pt idx="9">
                  <c:v>0.98598538414049908</c:v>
                </c:pt>
                <c:pt idx="10">
                  <c:v>0.92528690231033728</c:v>
                </c:pt>
                <c:pt idx="11">
                  <c:v>0.8655640237832688</c:v>
                </c:pt>
                <c:pt idx="12">
                  <c:v>0.80705527002955713</c:v>
                </c:pt>
                <c:pt idx="13">
                  <c:v>0.75000000000000067</c:v>
                </c:pt>
                <c:pt idx="14">
                  <c:v>0.69463109263141654</c:v>
                </c:pt>
                <c:pt idx="15">
                  <c:v>0.6411678610973115</c:v>
                </c:pt>
                <c:pt idx="16">
                  <c:v>0.58980957731447792</c:v>
                </c:pt>
                <c:pt idx="17">
                  <c:v>0.54072994236597427</c:v>
                </c:pt>
                <c:pt idx="18">
                  <c:v>0.49407276532365502</c:v>
                </c:pt>
                <c:pt idx="19">
                  <c:v>0.44994901847368235</c:v>
                </c:pt>
                <c:pt idx="20">
                  <c:v>0.40843533270868765</c:v>
                </c:pt>
                <c:pt idx="21">
                  <c:v>0.36957389492163389</c:v>
                </c:pt>
                <c:pt idx="22">
                  <c:v>0.33337362028509215</c:v>
                </c:pt>
                <c:pt idx="23">
                  <c:v>0.29981240411107529</c:v>
                </c:pt>
                <c:pt idx="24">
                  <c:v>0.26884021469394381</c:v>
                </c:pt>
                <c:pt idx="25">
                  <c:v>0.24038277060152513</c:v>
                </c:pt>
                <c:pt idx="26">
                  <c:v>0.21434555068062106</c:v>
                </c:pt>
                <c:pt idx="27">
                  <c:v>0.19061790786606747</c:v>
                </c:pt>
                <c:pt idx="28">
                  <c:v>0.16907709300125257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Optimal1</c:v>
                </c:pt>
              </c:strCache>
            </c:strRef>
          </c:tx>
          <c:marker>
            <c:symbol val="none"/>
          </c:marker>
          <c:val>
            <c:numRef>
              <c:f>Sheet1!$E$5:$E$33</c:f>
              <c:numCache>
                <c:formatCode>General</c:formatCode>
                <c:ptCount val="29"/>
                <c:pt idx="0">
                  <c:v>0.21434555068062106</c:v>
                </c:pt>
                <c:pt idx="1">
                  <c:v>0.24038277060152513</c:v>
                </c:pt>
                <c:pt idx="2">
                  <c:v>0.26884021469394381</c:v>
                </c:pt>
                <c:pt idx="3">
                  <c:v>0.29981240411107529</c:v>
                </c:pt>
                <c:pt idx="4">
                  <c:v>0.33337362028509215</c:v>
                </c:pt>
                <c:pt idx="5">
                  <c:v>0.36957389492163389</c:v>
                </c:pt>
                <c:pt idx="6">
                  <c:v>0.40843533270868765</c:v>
                </c:pt>
                <c:pt idx="7">
                  <c:v>0.44994901847368235</c:v>
                </c:pt>
                <c:pt idx="8">
                  <c:v>0.49407276532365502</c:v>
                </c:pt>
                <c:pt idx="9">
                  <c:v>0.54072994236597427</c:v>
                </c:pt>
                <c:pt idx="10">
                  <c:v>0.58980957731447792</c:v>
                </c:pt>
                <c:pt idx="11">
                  <c:v>0.6411678610973115</c:v>
                </c:pt>
                <c:pt idx="12">
                  <c:v>0.69463109263141654</c:v>
                </c:pt>
                <c:pt idx="13">
                  <c:v>0.75000000000000067</c:v>
                </c:pt>
                <c:pt idx="14">
                  <c:v>0.80705527002955713</c:v>
                </c:pt>
                <c:pt idx="15">
                  <c:v>0.8655640237832688</c:v>
                </c:pt>
                <c:pt idx="16">
                  <c:v>0.92528690231033728</c:v>
                </c:pt>
                <c:pt idx="17">
                  <c:v>0.98598538414049908</c:v>
                </c:pt>
                <c:pt idx="18">
                  <c:v>1.0474289484076462</c:v>
                </c:pt>
                <c:pt idx="19">
                  <c:v>1.1094017251249315</c:v>
                </c:pt>
                <c:pt idx="20">
                  <c:v>1.1717083322423485</c:v>
                </c:pt>
                <c:pt idx="21">
                  <c:v>1.2341786791906495</c:v>
                </c:pt>
                <c:pt idx="22">
                  <c:v>1.2966716080652279</c:v>
                </c:pt>
                <c:pt idx="23">
                  <c:v>1.3590773356144297</c:v>
                </c:pt>
                <c:pt idx="24">
                  <c:v>1.4213187423731228</c:v>
                </c:pt>
                <c:pt idx="25">
                  <c:v>1.48335162279293</c:v>
                </c:pt>
                <c:pt idx="26">
                  <c:v>1.5451640583064097</c:v>
                </c:pt>
                <c:pt idx="27">
                  <c:v>1.6067751031418487</c:v>
                </c:pt>
                <c:pt idx="28">
                  <c:v>1.6682329820302815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Sheet1!$F$4</c:f>
              <c:strCache>
                <c:ptCount val="1"/>
                <c:pt idx="0">
                  <c:v>Firm 0 g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val>
            <c:numRef>
              <c:f>Sheet1!$F$5:$F$33</c:f>
              <c:numCache>
                <c:formatCode>General</c:formatCode>
                <c:ptCount val="29"/>
                <c:pt idx="0">
                  <c:v>1.5168737792770011</c:v>
                </c:pt>
                <c:pt idx="1">
                  <c:v>1.4684558922702839</c:v>
                </c:pt>
                <c:pt idx="2">
                  <c:v>1.4171994196366742</c:v>
                </c:pt>
                <c:pt idx="3">
                  <c:v>1.3632653324129032</c:v>
                </c:pt>
                <c:pt idx="4">
                  <c:v>1.3068733096450944</c:v>
                </c:pt>
                <c:pt idx="5">
                  <c:v>1.2483020545578456</c:v>
                </c:pt>
                <c:pt idx="6">
                  <c:v>1.187887107394892</c:v>
                </c:pt>
                <c:pt idx="7">
                  <c:v>1.1260159126392544</c:v>
                </c:pt>
                <c:pt idx="8">
                  <c:v>1.063120082986506</c:v>
                </c:pt>
                <c:pt idx="9">
                  <c:v>0.99966502661689094</c:v>
                </c:pt>
                <c:pt idx="10">
                  <c:v>0.93613734582366348</c:v>
                </c:pt>
                <c:pt idx="11">
                  <c:v>0.87303064448346857</c:v>
                </c:pt>
                <c:pt idx="12">
                  <c:v>0.8108305667474105</c:v>
                </c:pt>
                <c:pt idx="13">
                  <c:v>0.74999999999999978</c:v>
                </c:pt>
                <c:pt idx="14">
                  <c:v>0.69096539080310926</c:v>
                </c:pt>
                <c:pt idx="15">
                  <c:v>0.63410503629741577</c:v>
                </c:pt>
                <c:pt idx="16">
                  <c:v>0.57974003460667389</c:v>
                </c:pt>
                <c:pt idx="17">
                  <c:v>0.52812833037137641</c:v>
                </c:pt>
                <c:pt idx="18">
                  <c:v>0.47946201024764884</c:v>
                </c:pt>
                <c:pt idx="19">
                  <c:v>0.43386772633609028</c:v>
                </c:pt>
                <c:pt idx="20">
                  <c:v>0.39140988777649055</c:v>
                </c:pt>
                <c:pt idx="21">
                  <c:v>0.35209608739045822</c:v>
                </c:pt>
                <c:pt idx="22">
                  <c:v>0.31588413370797253</c:v>
                </c:pt>
                <c:pt idx="23">
                  <c:v>0.28269003835353346</c:v>
                </c:pt>
                <c:pt idx="24">
                  <c:v>0.25239635328585874</c:v>
                </c:pt>
                <c:pt idx="25">
                  <c:v>0.22486034376308223</c:v>
                </c:pt>
                <c:pt idx="26">
                  <c:v>0.19992160077924653</c:v>
                </c:pt>
                <c:pt idx="27">
                  <c:v>0.17740882211985529</c:v>
                </c:pt>
                <c:pt idx="28">
                  <c:v>0.15714560905379721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Sheet1!$G$4</c:f>
              <c:strCache>
                <c:ptCount val="1"/>
                <c:pt idx="0">
                  <c:v>Firm 1 g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val>
            <c:numRef>
              <c:f>Sheet1!$G$5:$G$33</c:f>
              <c:numCache>
                <c:formatCode>General</c:formatCode>
                <c:ptCount val="29"/>
                <c:pt idx="0">
                  <c:v>0.19992160077924653</c:v>
                </c:pt>
                <c:pt idx="1">
                  <c:v>0.22486034376308223</c:v>
                </c:pt>
                <c:pt idx="2">
                  <c:v>0.25239635328585874</c:v>
                </c:pt>
                <c:pt idx="3">
                  <c:v>0.28269003835353346</c:v>
                </c:pt>
                <c:pt idx="4">
                  <c:v>0.31588413370797253</c:v>
                </c:pt>
                <c:pt idx="5">
                  <c:v>0.35209608739045822</c:v>
                </c:pt>
                <c:pt idx="6">
                  <c:v>0.39140988777649055</c:v>
                </c:pt>
                <c:pt idx="7">
                  <c:v>0.43386772633609028</c:v>
                </c:pt>
                <c:pt idx="8">
                  <c:v>0.47946201024764884</c:v>
                </c:pt>
                <c:pt idx="9">
                  <c:v>0.52812833037137641</c:v>
                </c:pt>
                <c:pt idx="10">
                  <c:v>0.57974003460667389</c:v>
                </c:pt>
                <c:pt idx="11">
                  <c:v>0.63410503629741577</c:v>
                </c:pt>
                <c:pt idx="12">
                  <c:v>0.69096539080310926</c:v>
                </c:pt>
                <c:pt idx="13">
                  <c:v>0.74999999999999978</c:v>
                </c:pt>
                <c:pt idx="14">
                  <c:v>0.8108305667474105</c:v>
                </c:pt>
                <c:pt idx="15">
                  <c:v>0.87303064448346857</c:v>
                </c:pt>
                <c:pt idx="16">
                  <c:v>0.93613734582366348</c:v>
                </c:pt>
                <c:pt idx="17">
                  <c:v>0.99966502661689094</c:v>
                </c:pt>
                <c:pt idx="18">
                  <c:v>1.063120082986506</c:v>
                </c:pt>
                <c:pt idx="19">
                  <c:v>1.1260159126392544</c:v>
                </c:pt>
                <c:pt idx="20">
                  <c:v>1.187887107394892</c:v>
                </c:pt>
                <c:pt idx="21">
                  <c:v>1.2483020545578456</c:v>
                </c:pt>
                <c:pt idx="22">
                  <c:v>1.3068733096450944</c:v>
                </c:pt>
                <c:pt idx="23">
                  <c:v>1.3632653324129032</c:v>
                </c:pt>
                <c:pt idx="24">
                  <c:v>1.4171994196366742</c:v>
                </c:pt>
                <c:pt idx="25">
                  <c:v>1.4684558922702839</c:v>
                </c:pt>
                <c:pt idx="26">
                  <c:v>1.5168737792770011</c:v>
                </c:pt>
                <c:pt idx="27">
                  <c:v>1.562348372738678</c:v>
                </c:pt>
                <c:pt idx="28">
                  <c:v>1.6048271052497065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10016"/>
        <c:axId val="37911552"/>
      </c:lineChart>
      <c:catAx>
        <c:axId val="37910016"/>
        <c:scaling>
          <c:orientation val="minMax"/>
        </c:scaling>
        <c:delete val="0"/>
        <c:axPos val="b"/>
        <c:majorTickMark val="out"/>
        <c:minorTickMark val="none"/>
        <c:tickLblPos val="nextTo"/>
        <c:crossAx val="37911552"/>
        <c:crosses val="autoZero"/>
        <c:auto val="1"/>
        <c:lblAlgn val="ctr"/>
        <c:lblOffset val="100"/>
        <c:noMultiLvlLbl val="0"/>
      </c:catAx>
      <c:valAx>
        <c:axId val="37911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9100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diff0</c:v>
                </c:pt>
              </c:strCache>
            </c:strRef>
          </c:tx>
          <c:marker>
            <c:symbol val="none"/>
          </c:marker>
          <c:val>
            <c:numRef>
              <c:f>Sheet1!$H$5:$H$34</c:f>
              <c:numCache>
                <c:formatCode>General</c:formatCode>
                <c:ptCount val="30"/>
                <c:pt idx="0">
                  <c:v>-2.8290279029408616E-2</c:v>
                </c:pt>
                <c:pt idx="1">
                  <c:v>-1.4895730522646033E-2</c:v>
                </c:pt>
                <c:pt idx="2">
                  <c:v>-4.1193227364486606E-3</c:v>
                </c:pt>
                <c:pt idx="3">
                  <c:v>4.1879967984734812E-3</c:v>
                </c:pt>
                <c:pt idx="4">
                  <c:v>1.0201701579866551E-2</c:v>
                </c:pt>
                <c:pt idx="5">
                  <c:v>1.41233753671961E-2</c:v>
                </c:pt>
                <c:pt idx="6">
                  <c:v>1.6178775152543512E-2</c:v>
                </c:pt>
                <c:pt idx="7">
                  <c:v>1.6614187514322865E-2</c:v>
                </c:pt>
                <c:pt idx="8">
                  <c:v>1.5691134578859733E-2</c:v>
                </c:pt>
                <c:pt idx="9">
                  <c:v>1.3679642476391862E-2</c:v>
                </c:pt>
                <c:pt idx="10">
                  <c:v>1.0850443513326202E-2</c:v>
                </c:pt>
                <c:pt idx="11">
                  <c:v>7.4666207001997664E-3</c:v>
                </c:pt>
                <c:pt idx="12">
                  <c:v>3.7752967178533714E-3</c:v>
                </c:pt>
                <c:pt idx="13">
                  <c:v>-8.8817841970012523E-16</c:v>
                </c:pt>
                <c:pt idx="14">
                  <c:v>-3.6657018283072773E-3</c:v>
                </c:pt>
                <c:pt idx="15">
                  <c:v>-7.0628247998957283E-3</c:v>
                </c:pt>
                <c:pt idx="16">
                  <c:v>-1.0069542707804024E-2</c:v>
                </c:pt>
                <c:pt idx="17">
                  <c:v>-1.2601611994597861E-2</c:v>
                </c:pt>
                <c:pt idx="18">
                  <c:v>-1.4610755076006177E-2</c:v>
                </c:pt>
                <c:pt idx="19">
                  <c:v>-1.6081292137592074E-2</c:v>
                </c:pt>
                <c:pt idx="20">
                  <c:v>-1.7025444932197098E-2</c:v>
                </c:pt>
                <c:pt idx="21">
                  <c:v>-1.7477807531175671E-2</c:v>
                </c:pt>
                <c:pt idx="22">
                  <c:v>-1.7489486577119628E-2</c:v>
                </c:pt>
                <c:pt idx="23">
                  <c:v>-1.7122365757541835E-2</c:v>
                </c:pt>
                <c:pt idx="24">
                  <c:v>-1.644386140808507E-2</c:v>
                </c:pt>
                <c:pt idx="25">
                  <c:v>-1.5522426838442904E-2</c:v>
                </c:pt>
                <c:pt idx="26">
                  <c:v>-1.4423949901374522E-2</c:v>
                </c:pt>
                <c:pt idx="27">
                  <c:v>-1.3209085746212185E-2</c:v>
                </c:pt>
                <c:pt idx="28">
                  <c:v>-1.1931483947455357E-2</c:v>
                </c:pt>
                <c:pt idx="29">
                  <c:v>-1.0636810545097269E-2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Sheet1!$I$4</c:f>
              <c:strCache>
                <c:ptCount val="1"/>
                <c:pt idx="0">
                  <c:v>diff1</c:v>
                </c:pt>
              </c:strCache>
            </c:strRef>
          </c:tx>
          <c:marker>
            <c:symbol val="none"/>
          </c:marker>
          <c:val>
            <c:numRef>
              <c:f>Sheet1!$I$5:$I$34</c:f>
              <c:numCache>
                <c:formatCode>General</c:formatCode>
                <c:ptCount val="30"/>
                <c:pt idx="0">
                  <c:v>-1.4423949901374522E-2</c:v>
                </c:pt>
                <c:pt idx="1">
                  <c:v>-1.5522426838442904E-2</c:v>
                </c:pt>
                <c:pt idx="2">
                  <c:v>-1.644386140808507E-2</c:v>
                </c:pt>
                <c:pt idx="3">
                  <c:v>-1.7122365757541835E-2</c:v>
                </c:pt>
                <c:pt idx="4">
                  <c:v>-1.7489486577119628E-2</c:v>
                </c:pt>
                <c:pt idx="5">
                  <c:v>-1.7477807531175671E-2</c:v>
                </c:pt>
                <c:pt idx="6">
                  <c:v>-1.7025444932197098E-2</c:v>
                </c:pt>
                <c:pt idx="7">
                  <c:v>-1.6081292137592074E-2</c:v>
                </c:pt>
                <c:pt idx="8">
                  <c:v>-1.4610755076006177E-2</c:v>
                </c:pt>
                <c:pt idx="9">
                  <c:v>-1.2601611994597861E-2</c:v>
                </c:pt>
                <c:pt idx="10">
                  <c:v>-1.0069542707804024E-2</c:v>
                </c:pt>
                <c:pt idx="11">
                  <c:v>-7.0628247998957283E-3</c:v>
                </c:pt>
                <c:pt idx="12">
                  <c:v>-3.6657018283072773E-3</c:v>
                </c:pt>
                <c:pt idx="13">
                  <c:v>-8.8817841970012523E-16</c:v>
                </c:pt>
                <c:pt idx="14">
                  <c:v>3.7752967178533714E-3</c:v>
                </c:pt>
                <c:pt idx="15">
                  <c:v>7.4666207001997664E-3</c:v>
                </c:pt>
                <c:pt idx="16">
                  <c:v>1.0850443513326202E-2</c:v>
                </c:pt>
                <c:pt idx="17">
                  <c:v>1.3679642476391862E-2</c:v>
                </c:pt>
                <c:pt idx="18">
                  <c:v>1.5691134578859733E-2</c:v>
                </c:pt>
                <c:pt idx="19">
                  <c:v>1.6614187514322865E-2</c:v>
                </c:pt>
                <c:pt idx="20">
                  <c:v>1.6178775152543512E-2</c:v>
                </c:pt>
                <c:pt idx="21">
                  <c:v>1.41233753671961E-2</c:v>
                </c:pt>
                <c:pt idx="22">
                  <c:v>1.0201701579866551E-2</c:v>
                </c:pt>
                <c:pt idx="23">
                  <c:v>4.1879967984734812E-3</c:v>
                </c:pt>
                <c:pt idx="24">
                  <c:v>-4.1193227364486606E-3</c:v>
                </c:pt>
                <c:pt idx="25">
                  <c:v>-1.4895730522646033E-2</c:v>
                </c:pt>
                <c:pt idx="26">
                  <c:v>-2.8290279029408616E-2</c:v>
                </c:pt>
                <c:pt idx="27">
                  <c:v>-4.4426730403170689E-2</c:v>
                </c:pt>
                <c:pt idx="28">
                  <c:v>-6.3405876780574966E-2</c:v>
                </c:pt>
                <c:pt idx="29">
                  <c:v>-8.5308767842048772E-2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28320"/>
        <c:axId val="37934208"/>
      </c:lineChart>
      <c:catAx>
        <c:axId val="37928320"/>
        <c:scaling>
          <c:orientation val="minMax"/>
        </c:scaling>
        <c:delete val="0"/>
        <c:axPos val="b"/>
        <c:majorTickMark val="out"/>
        <c:minorTickMark val="none"/>
        <c:tickLblPos val="nextTo"/>
        <c:crossAx val="37934208"/>
        <c:crosses val="autoZero"/>
        <c:auto val="1"/>
        <c:lblAlgn val="ctr"/>
        <c:lblOffset val="100"/>
        <c:noMultiLvlLbl val="0"/>
      </c:catAx>
      <c:valAx>
        <c:axId val="37934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928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Sheet1!$L$43</c:f>
              <c:strCache>
                <c:ptCount val="1"/>
                <c:pt idx="0">
                  <c:v>Firm 0 output per unit input</c:v>
                </c:pt>
              </c:strCache>
            </c:strRef>
          </c:tx>
          <c:marker>
            <c:symbol val="none"/>
          </c:marker>
          <c:val>
            <c:numRef>
              <c:f>Sheet1!$L$44:$L$164</c:f>
              <c:numCache>
                <c:formatCode>General</c:formatCode>
                <c:ptCount val="121"/>
                <c:pt idx="0">
                  <c:v>1.5299662939860752</c:v>
                </c:pt>
                <c:pt idx="1">
                  <c:v>1.5389260144197863</c:v>
                </c:pt>
                <c:pt idx="2">
                  <c:v>1.5478622202871517</c:v>
                </c:pt>
                <c:pt idx="3">
                  <c:v>1.5567695941790254</c:v>
                </c:pt>
                <c:pt idx="4">
                  <c:v>1.5656428855386144</c:v>
                </c:pt>
                <c:pt idx="5">
                  <c:v>1.5744769224359236</c:v>
                </c:pt>
                <c:pt idx="6">
                  <c:v>1.5832666229621513</c:v>
                </c:pt>
                <c:pt idx="7">
                  <c:v>1.5920070061924996</c:v>
                </c:pt>
                <c:pt idx="8">
                  <c:v>1.6006932026693863</c:v>
                </c:pt>
                <c:pt idx="9">
                  <c:v>1.6093204643618826</c:v>
                </c:pt>
                <c:pt idx="10">
                  <c:v>1.6178841740613787</c:v>
                </c:pt>
                <c:pt idx="11">
                  <c:v>1.6263798541778571</c:v>
                </c:pt>
                <c:pt idx="12">
                  <c:v>1.6348031749057654</c:v>
                </c:pt>
                <c:pt idx="13">
                  <c:v>1.6431499617332084</c:v>
                </c:pt>
                <c:pt idx="14">
                  <c:v>1.6514162022730197</c:v>
                </c:pt>
                <c:pt idx="15">
                  <c:v>1.6595980523991387</c:v>
                </c:pt>
                <c:pt idx="16">
                  <c:v>1.6676918416765694</c:v>
                </c:pt>
                <c:pt idx="17">
                  <c:v>1.6756940780780034</c:v>
                </c:pt>
                <c:pt idx="18">
                  <c:v>1.683601451984879</c:v>
                </c:pt>
                <c:pt idx="19">
                  <c:v>1.6914108394751741</c:v>
                </c:pt>
                <c:pt idx="20">
                  <c:v>1.6991193049046005</c:v>
                </c:pt>
                <c:pt idx="21">
                  <c:v>1.7067241027919775</c:v>
                </c:pt>
                <c:pt idx="22">
                  <c:v>1.7142226790234445</c:v>
                </c:pt>
                <c:pt idx="23">
                  <c:v>1.7216126713937512</c:v>
                </c:pt>
                <c:pt idx="24">
                  <c:v>1.7288919095061686</c:v>
                </c:pt>
                <c:pt idx="25">
                  <c:v>1.7360584140555129</c:v>
                </c:pt>
                <c:pt idx="26">
                  <c:v>1.7431103955214267</c:v>
                </c:pt>
                <c:pt idx="27">
                  <c:v>1.7500462523013505</c:v>
                </c:pt>
                <c:pt idx="28">
                  <c:v>1.7568645683145869</c:v>
                </c:pt>
                <c:pt idx="29">
                  <c:v>1.7635641101104553</c:v>
                </c:pt>
                <c:pt idx="30">
                  <c:v>1.7701438235148423</c:v>
                </c:pt>
                <c:pt idx="31">
                  <c:v>1.7766028298503875</c:v>
                </c:pt>
                <c:pt idx="32">
                  <c:v>1.7829404217661866</c:v>
                </c:pt>
                <c:pt idx="33">
                  <c:v>1.7819453711202637</c:v>
                </c:pt>
                <c:pt idx="34">
                  <c:v>1.7881526821302616</c:v>
                </c:pt>
                <c:pt idx="35">
                  <c:v>1.7942388034232453</c:v>
                </c:pt>
                <c:pt idx="36">
                  <c:v>1.8002034910435918</c:v>
                </c:pt>
                <c:pt idx="37">
                  <c:v>1.7991923715506359</c:v>
                </c:pt>
                <c:pt idx="38">
                  <c:v>1.8050304256215319</c:v>
                </c:pt>
                <c:pt idx="39">
                  <c:v>1.810748063931042</c:v>
                </c:pt>
                <c:pt idx="40">
                  <c:v>1.8097329814105685</c:v>
                </c:pt>
                <c:pt idx="41">
                  <c:v>1.815327200839139</c:v>
                </c:pt>
                <c:pt idx="42">
                  <c:v>1.8208024603010529</c:v>
                </c:pt>
                <c:pt idx="43">
                  <c:v>1.8197868974396085</c:v>
                </c:pt>
                <c:pt idx="44">
                  <c:v>1.8251422245467332</c:v>
                </c:pt>
                <c:pt idx="45">
                  <c:v>1.8303804290501047</c:v>
                </c:pt>
                <c:pt idx="46">
                  <c:v>1.8293675729015726</c:v>
                </c:pt>
                <c:pt idx="47">
                  <c:v>1.8344895474879583</c:v>
                </c:pt>
                <c:pt idx="48">
                  <c:v>1.8394965650201986</c:v>
                </c:pt>
                <c:pt idx="49">
                  <c:v>1.8384893119862735</c:v>
                </c:pt>
                <c:pt idx="50">
                  <c:v>1.843383966920054</c:v>
                </c:pt>
                <c:pt idx="51">
                  <c:v>1.8481661084601435</c:v>
                </c:pt>
                <c:pt idx="52">
                  <c:v>1.8471670720924724</c:v>
                </c:pt>
                <c:pt idx="53">
                  <c:v>1.8518408371465773</c:v>
                </c:pt>
                <c:pt idx="54">
                  <c:v>1.850848597216846</c:v>
                </c:pt>
                <c:pt idx="55">
                  <c:v>1.8554162851233853</c:v>
                </c:pt>
                <c:pt idx="56">
                  <c:v>1.8598758992331892</c:v>
                </c:pt>
                <c:pt idx="57">
                  <c:v>1.8588951044348847</c:v>
                </c:pt>
                <c:pt idx="58">
                  <c:v>1.8632526975225521</c:v>
                </c:pt>
                <c:pt idx="59">
                  <c:v>1.8622798960496674</c:v>
                </c:pt>
                <c:pt idx="60">
                  <c:v>1.8665377351601584</c:v>
                </c:pt>
                <c:pt idx="61">
                  <c:v>1.8706922284663225</c:v>
                </c:pt>
                <c:pt idx="62">
                  <c:v>1.8697335339617864</c:v>
                </c:pt>
                <c:pt idx="63">
                  <c:v>1.8737923278763664</c:v>
                </c:pt>
                <c:pt idx="64">
                  <c:v>1.8728425607341816</c:v>
                </c:pt>
                <c:pt idx="65">
                  <c:v>1.8768078625710476</c:v>
                </c:pt>
                <c:pt idx="66">
                  <c:v>1.8806747203258334</c:v>
                </c:pt>
                <c:pt idx="67">
                  <c:v>1.879741210565897</c:v>
                </c:pt>
                <c:pt idx="68">
                  <c:v>1.8835185726403407</c:v>
                </c:pt>
                <c:pt idx="69">
                  <c:v>1.8825946930072399</c:v>
                </c:pt>
                <c:pt idx="70">
                  <c:v>1.8862846865972662</c:v>
                </c:pt>
                <c:pt idx="71">
                  <c:v>1.8898812167014332</c:v>
                </c:pt>
                <c:pt idx="72">
                  <c:v>1.8889752888832867</c:v>
                </c:pt>
                <c:pt idx="73">
                  <c:v>1.8924883450468653</c:v>
                </c:pt>
                <c:pt idx="74">
                  <c:v>1.8915925490702559</c:v>
                </c:pt>
                <c:pt idx="75">
                  <c:v>1.8950241639196359</c:v>
                </c:pt>
                <c:pt idx="76">
                  <c:v>1.8941385801797079</c:v>
                </c:pt>
                <c:pt idx="77">
                  <c:v>1.8950241639196359</c:v>
                </c:pt>
                <c:pt idx="78">
                  <c:v>1.8941385801797079</c:v>
                </c:pt>
                <c:pt idx="79">
                  <c:v>1.8950241639196359</c:v>
                </c:pt>
                <c:pt idx="80">
                  <c:v>1.8941385801797079</c:v>
                </c:pt>
                <c:pt idx="81">
                  <c:v>1.8950241639196359</c:v>
                </c:pt>
                <c:pt idx="82">
                  <c:v>1.8941385801797079</c:v>
                </c:pt>
                <c:pt idx="83">
                  <c:v>1.8950241639196359</c:v>
                </c:pt>
                <c:pt idx="84">
                  <c:v>1.8941385801797079</c:v>
                </c:pt>
                <c:pt idx="85">
                  <c:v>1.8950241639196359</c:v>
                </c:pt>
                <c:pt idx="86">
                  <c:v>1.8941385801797079</c:v>
                </c:pt>
                <c:pt idx="87">
                  <c:v>1.8950241639196359</c:v>
                </c:pt>
                <c:pt idx="88">
                  <c:v>1.8941385801797079</c:v>
                </c:pt>
                <c:pt idx="89">
                  <c:v>1.8950241639196359</c:v>
                </c:pt>
                <c:pt idx="90">
                  <c:v>1.8941385801797079</c:v>
                </c:pt>
                <c:pt idx="91">
                  <c:v>1.8950241639196359</c:v>
                </c:pt>
                <c:pt idx="92">
                  <c:v>1.8941385801797079</c:v>
                </c:pt>
                <c:pt idx="93">
                  <c:v>1.8950241639196359</c:v>
                </c:pt>
                <c:pt idx="94">
                  <c:v>1.8941385801797079</c:v>
                </c:pt>
                <c:pt idx="95">
                  <c:v>1.8950241639196359</c:v>
                </c:pt>
                <c:pt idx="96">
                  <c:v>1.8941385801797079</c:v>
                </c:pt>
                <c:pt idx="97">
                  <c:v>1.8950241639196359</c:v>
                </c:pt>
                <c:pt idx="98">
                  <c:v>1.8941385801797079</c:v>
                </c:pt>
                <c:pt idx="99">
                  <c:v>1.8950241639196359</c:v>
                </c:pt>
                <c:pt idx="100">
                  <c:v>1.8941385801797079</c:v>
                </c:pt>
                <c:pt idx="101">
                  <c:v>1.8950241639196359</c:v>
                </c:pt>
                <c:pt idx="102">
                  <c:v>1.8941385801797079</c:v>
                </c:pt>
                <c:pt idx="103">
                  <c:v>1.8950241639196359</c:v>
                </c:pt>
                <c:pt idx="104">
                  <c:v>1.8941385801797079</c:v>
                </c:pt>
                <c:pt idx="105">
                  <c:v>1.8950241639196359</c:v>
                </c:pt>
                <c:pt idx="106">
                  <c:v>1.8941385801797079</c:v>
                </c:pt>
                <c:pt idx="107">
                  <c:v>1.8950241639196359</c:v>
                </c:pt>
                <c:pt idx="108">
                  <c:v>1.8941385801797079</c:v>
                </c:pt>
                <c:pt idx="109">
                  <c:v>1.8950241639196359</c:v>
                </c:pt>
                <c:pt idx="110">
                  <c:v>1.8941385801797079</c:v>
                </c:pt>
                <c:pt idx="111">
                  <c:v>1.8950241639196359</c:v>
                </c:pt>
                <c:pt idx="112">
                  <c:v>1.8941385801797079</c:v>
                </c:pt>
                <c:pt idx="113">
                  <c:v>1.8950241639196359</c:v>
                </c:pt>
                <c:pt idx="114">
                  <c:v>1.8941385801797079</c:v>
                </c:pt>
                <c:pt idx="115">
                  <c:v>1.8950241639196359</c:v>
                </c:pt>
                <c:pt idx="116">
                  <c:v>1.8941385801797079</c:v>
                </c:pt>
                <c:pt idx="117">
                  <c:v>1.8950241639196359</c:v>
                </c:pt>
                <c:pt idx="118">
                  <c:v>1.8941385801797079</c:v>
                </c:pt>
                <c:pt idx="119">
                  <c:v>1.8950241639196359</c:v>
                </c:pt>
                <c:pt idx="120">
                  <c:v>1.8941385801797079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Sheet1!$M$43</c:f>
              <c:strCache>
                <c:ptCount val="1"/>
                <c:pt idx="0">
                  <c:v>Firm 1 output per unit input</c:v>
                </c:pt>
              </c:strCache>
            </c:strRef>
          </c:tx>
          <c:marker>
            <c:symbol val="none"/>
          </c:marker>
          <c:val>
            <c:numRef>
              <c:f>Sheet1!$M$44:$M$164</c:f>
              <c:numCache>
                <c:formatCode>General</c:formatCode>
                <c:ptCount val="121"/>
                <c:pt idx="0">
                  <c:v>1.4700337060139246</c:v>
                </c:pt>
                <c:pt idx="1">
                  <c:v>1.4610739855802133</c:v>
                </c:pt>
                <c:pt idx="2">
                  <c:v>1.4521377797128483</c:v>
                </c:pt>
                <c:pt idx="3">
                  <c:v>1.4432304058209746</c:v>
                </c:pt>
                <c:pt idx="4">
                  <c:v>1.4343571144613856</c:v>
                </c:pt>
                <c:pt idx="5">
                  <c:v>1.4255230775640764</c:v>
                </c:pt>
                <c:pt idx="6">
                  <c:v>1.4167333770378487</c:v>
                </c:pt>
                <c:pt idx="7">
                  <c:v>1.4079929938075</c:v>
                </c:pt>
                <c:pt idx="8">
                  <c:v>1.3993067973306135</c:v>
                </c:pt>
                <c:pt idx="9">
                  <c:v>1.3906795356381174</c:v>
                </c:pt>
                <c:pt idx="10">
                  <c:v>1.3821158259386217</c:v>
                </c:pt>
                <c:pt idx="11">
                  <c:v>1.3736201458221426</c:v>
                </c:pt>
                <c:pt idx="12">
                  <c:v>1.3651968250942346</c:v>
                </c:pt>
                <c:pt idx="13">
                  <c:v>1.3568500382667921</c:v>
                </c:pt>
                <c:pt idx="14">
                  <c:v>1.3485837977269806</c:v>
                </c:pt>
                <c:pt idx="15">
                  <c:v>1.3404019476008611</c:v>
                </c:pt>
                <c:pt idx="16">
                  <c:v>1.3323081583234306</c:v>
                </c:pt>
                <c:pt idx="17">
                  <c:v>1.3243059219219966</c:v>
                </c:pt>
                <c:pt idx="18">
                  <c:v>1.316398548015121</c:v>
                </c:pt>
                <c:pt idx="19">
                  <c:v>1.3085891605248259</c:v>
                </c:pt>
                <c:pt idx="20">
                  <c:v>1.3008806950953997</c:v>
                </c:pt>
                <c:pt idx="21">
                  <c:v>1.2932758972080223</c:v>
                </c:pt>
                <c:pt idx="22">
                  <c:v>1.2857773209765555</c:v>
                </c:pt>
                <c:pt idx="23">
                  <c:v>1.2783873286062488</c:v>
                </c:pt>
                <c:pt idx="24">
                  <c:v>1.2711080904938314</c:v>
                </c:pt>
                <c:pt idx="25">
                  <c:v>1.2639415859444869</c:v>
                </c:pt>
                <c:pt idx="26">
                  <c:v>1.2568896044785736</c:v>
                </c:pt>
                <c:pt idx="27">
                  <c:v>1.2499537476986495</c:v>
                </c:pt>
                <c:pt idx="28">
                  <c:v>1.2431354316854129</c:v>
                </c:pt>
                <c:pt idx="29">
                  <c:v>1.2364358898895449</c:v>
                </c:pt>
                <c:pt idx="30">
                  <c:v>1.2298561764851577</c:v>
                </c:pt>
                <c:pt idx="31">
                  <c:v>1.2233971701496125</c:v>
                </c:pt>
                <c:pt idx="32">
                  <c:v>1.2170595782338136</c:v>
                </c:pt>
                <c:pt idx="33">
                  <c:v>1.218054628879736</c:v>
                </c:pt>
                <c:pt idx="34">
                  <c:v>1.2118473178697386</c:v>
                </c:pt>
                <c:pt idx="35">
                  <c:v>1.2057611965767547</c:v>
                </c:pt>
                <c:pt idx="36">
                  <c:v>1.199796508956408</c:v>
                </c:pt>
                <c:pt idx="37">
                  <c:v>1.2008076284493638</c:v>
                </c:pt>
                <c:pt idx="38">
                  <c:v>1.1949695743784681</c:v>
                </c:pt>
                <c:pt idx="39">
                  <c:v>1.189251936068958</c:v>
                </c:pt>
                <c:pt idx="40">
                  <c:v>1.190267018589432</c:v>
                </c:pt>
                <c:pt idx="41">
                  <c:v>1.1846727991608608</c:v>
                </c:pt>
                <c:pt idx="42">
                  <c:v>1.1791975396989469</c:v>
                </c:pt>
                <c:pt idx="43">
                  <c:v>1.1802131025603915</c:v>
                </c:pt>
                <c:pt idx="44">
                  <c:v>1.1748577754532665</c:v>
                </c:pt>
                <c:pt idx="45">
                  <c:v>1.1696195709498953</c:v>
                </c:pt>
                <c:pt idx="46">
                  <c:v>1.1706324270984274</c:v>
                </c:pt>
                <c:pt idx="47">
                  <c:v>1.1655104525120417</c:v>
                </c:pt>
                <c:pt idx="48">
                  <c:v>1.1605034349798011</c:v>
                </c:pt>
                <c:pt idx="49">
                  <c:v>1.1615106880137267</c:v>
                </c:pt>
                <c:pt idx="50">
                  <c:v>1.1566160330799458</c:v>
                </c:pt>
                <c:pt idx="51">
                  <c:v>1.1518338915398567</c:v>
                </c:pt>
                <c:pt idx="52">
                  <c:v>1.1528329279075278</c:v>
                </c:pt>
                <c:pt idx="53">
                  <c:v>1.1481591628534227</c:v>
                </c:pt>
                <c:pt idx="54">
                  <c:v>1.149151402783154</c:v>
                </c:pt>
                <c:pt idx="55">
                  <c:v>1.1445837148766145</c:v>
                </c:pt>
                <c:pt idx="56">
                  <c:v>1.140124100766811</c:v>
                </c:pt>
                <c:pt idx="57">
                  <c:v>1.1411048955651155</c:v>
                </c:pt>
                <c:pt idx="58">
                  <c:v>1.1367473024774477</c:v>
                </c:pt>
                <c:pt idx="59">
                  <c:v>1.1377201039503326</c:v>
                </c:pt>
                <c:pt idx="60">
                  <c:v>1.1334622648398416</c:v>
                </c:pt>
                <c:pt idx="61">
                  <c:v>1.1293077715336775</c:v>
                </c:pt>
                <c:pt idx="62">
                  <c:v>1.1302664660382136</c:v>
                </c:pt>
                <c:pt idx="63">
                  <c:v>1.1262076721236336</c:v>
                </c:pt>
                <c:pt idx="64">
                  <c:v>1.1271574392658181</c:v>
                </c:pt>
                <c:pt idx="65">
                  <c:v>1.1231921374289524</c:v>
                </c:pt>
                <c:pt idx="66">
                  <c:v>1.1193252796741666</c:v>
                </c:pt>
                <c:pt idx="67">
                  <c:v>1.120258789434103</c:v>
                </c:pt>
                <c:pt idx="68">
                  <c:v>1.1164814273596593</c:v>
                </c:pt>
                <c:pt idx="69">
                  <c:v>1.1174053069927601</c:v>
                </c:pt>
                <c:pt idx="70">
                  <c:v>1.1137153134027338</c:v>
                </c:pt>
                <c:pt idx="71">
                  <c:v>1.1101187832985666</c:v>
                </c:pt>
                <c:pt idx="72">
                  <c:v>1.1110247111167133</c:v>
                </c:pt>
                <c:pt idx="73">
                  <c:v>1.1075116549531347</c:v>
                </c:pt>
                <c:pt idx="74">
                  <c:v>1.1084074509297444</c:v>
                </c:pt>
                <c:pt idx="75">
                  <c:v>1.1049758360803641</c:v>
                </c:pt>
                <c:pt idx="76">
                  <c:v>1.1058614198202918</c:v>
                </c:pt>
                <c:pt idx="77">
                  <c:v>1.1049758360803641</c:v>
                </c:pt>
                <c:pt idx="78">
                  <c:v>1.1058614198202918</c:v>
                </c:pt>
                <c:pt idx="79">
                  <c:v>1.1049758360803641</c:v>
                </c:pt>
                <c:pt idx="80">
                  <c:v>1.1058614198202918</c:v>
                </c:pt>
                <c:pt idx="81">
                  <c:v>1.1049758360803641</c:v>
                </c:pt>
                <c:pt idx="82">
                  <c:v>1.1058614198202918</c:v>
                </c:pt>
                <c:pt idx="83">
                  <c:v>1.1049758360803641</c:v>
                </c:pt>
                <c:pt idx="84">
                  <c:v>1.1058614198202918</c:v>
                </c:pt>
                <c:pt idx="85">
                  <c:v>1.1049758360803641</c:v>
                </c:pt>
                <c:pt idx="86">
                  <c:v>1.1058614198202918</c:v>
                </c:pt>
                <c:pt idx="87">
                  <c:v>1.1049758360803641</c:v>
                </c:pt>
                <c:pt idx="88">
                  <c:v>1.1058614198202918</c:v>
                </c:pt>
                <c:pt idx="89">
                  <c:v>1.1049758360803641</c:v>
                </c:pt>
                <c:pt idx="90">
                  <c:v>1.1058614198202918</c:v>
                </c:pt>
                <c:pt idx="91">
                  <c:v>1.1049758360803641</c:v>
                </c:pt>
                <c:pt idx="92">
                  <c:v>1.1058614198202918</c:v>
                </c:pt>
                <c:pt idx="93">
                  <c:v>1.1049758360803641</c:v>
                </c:pt>
                <c:pt idx="94">
                  <c:v>1.1058614198202918</c:v>
                </c:pt>
                <c:pt idx="95">
                  <c:v>1.1049758360803641</c:v>
                </c:pt>
                <c:pt idx="96">
                  <c:v>1.1058614198202918</c:v>
                </c:pt>
                <c:pt idx="97">
                  <c:v>1.1049758360803641</c:v>
                </c:pt>
                <c:pt idx="98">
                  <c:v>1.1058614198202918</c:v>
                </c:pt>
                <c:pt idx="99">
                  <c:v>1.1049758360803641</c:v>
                </c:pt>
                <c:pt idx="100">
                  <c:v>1.1058614198202918</c:v>
                </c:pt>
                <c:pt idx="101">
                  <c:v>1.1049758360803641</c:v>
                </c:pt>
                <c:pt idx="102">
                  <c:v>1.1058614198202918</c:v>
                </c:pt>
                <c:pt idx="103">
                  <c:v>1.1049758360803641</c:v>
                </c:pt>
                <c:pt idx="104">
                  <c:v>1.1058614198202918</c:v>
                </c:pt>
                <c:pt idx="105">
                  <c:v>1.1049758360803641</c:v>
                </c:pt>
                <c:pt idx="106">
                  <c:v>1.1058614198202918</c:v>
                </c:pt>
                <c:pt idx="107">
                  <c:v>1.1049758360803641</c:v>
                </c:pt>
                <c:pt idx="108">
                  <c:v>1.1058614198202918</c:v>
                </c:pt>
                <c:pt idx="109">
                  <c:v>1.1049758360803641</c:v>
                </c:pt>
                <c:pt idx="110">
                  <c:v>1.1058614198202918</c:v>
                </c:pt>
                <c:pt idx="111">
                  <c:v>1.1049758360803641</c:v>
                </c:pt>
                <c:pt idx="112">
                  <c:v>1.1058614198202918</c:v>
                </c:pt>
                <c:pt idx="113">
                  <c:v>1.1049758360803641</c:v>
                </c:pt>
                <c:pt idx="114">
                  <c:v>1.1058614198202918</c:v>
                </c:pt>
                <c:pt idx="115">
                  <c:v>1.1049758360803641</c:v>
                </c:pt>
                <c:pt idx="116">
                  <c:v>1.1058614198202918</c:v>
                </c:pt>
                <c:pt idx="117">
                  <c:v>1.1049758360803641</c:v>
                </c:pt>
                <c:pt idx="118">
                  <c:v>1.1058614198202918</c:v>
                </c:pt>
                <c:pt idx="119">
                  <c:v>1.1049758360803641</c:v>
                </c:pt>
                <c:pt idx="120">
                  <c:v>1.1058614198202918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74016"/>
        <c:axId val="37975936"/>
      </c:lineChart>
      <c:catAx>
        <c:axId val="3797401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Spreadsheet iterations</a:t>
                </a:r>
                <a:r>
                  <a:rPr lang="en-GB" baseline="0"/>
                  <a:t> (120)</a:t>
                </a:r>
                <a:endParaRPr lang="en-GB"/>
              </a:p>
            </c:rich>
          </c:tx>
          <c:layout/>
          <c:overlay val="0"/>
        </c:title>
        <c:majorTickMark val="out"/>
        <c:minorTickMark val="none"/>
        <c:tickLblPos val="nextTo"/>
        <c:crossAx val="37975936"/>
        <c:crosses val="autoZero"/>
        <c:auto val="1"/>
        <c:lblAlgn val="ctr"/>
        <c:lblOffset val="100"/>
        <c:noMultiLvlLbl val="0"/>
      </c:catAx>
      <c:valAx>
        <c:axId val="37975936"/>
        <c:scaling>
          <c:orientation val="minMax"/>
          <c:min val="0.8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9740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Sheet1!$L$168</c:f>
              <c:strCache>
                <c:ptCount val="1"/>
                <c:pt idx="0">
                  <c:v>Firm 0 output per unit input</c:v>
                </c:pt>
              </c:strCache>
            </c:strRef>
          </c:tx>
          <c:marker>
            <c:symbol val="none"/>
          </c:marker>
          <c:val>
            <c:numRef>
              <c:f>Sheet1!$L$169:$L$228</c:f>
              <c:numCache>
                <c:formatCode>General</c:formatCode>
                <c:ptCount val="60"/>
                <c:pt idx="0">
                  <c:v>1.520268186313976</c:v>
                </c:pt>
                <c:pt idx="1">
                  <c:v>1.5141911536952419</c:v>
                </c:pt>
                <c:pt idx="2">
                  <c:v>1.5081104969878227</c:v>
                </c:pt>
                <c:pt idx="3">
                  <c:v>1.5020277681813485</c:v>
                </c:pt>
                <c:pt idx="4">
                  <c:v>1.4959445212146723</c:v>
                </c:pt>
                <c:pt idx="5">
                  <c:v>1.5020277681813485</c:v>
                </c:pt>
                <c:pt idx="6">
                  <c:v>1.4959445212146723</c:v>
                </c:pt>
                <c:pt idx="7">
                  <c:v>1.5020277681813485</c:v>
                </c:pt>
                <c:pt idx="8">
                  <c:v>1.4959445212146723</c:v>
                </c:pt>
                <c:pt idx="9">
                  <c:v>1.5020277681813485</c:v>
                </c:pt>
                <c:pt idx="10">
                  <c:v>1.4959445212146723</c:v>
                </c:pt>
                <c:pt idx="11">
                  <c:v>1.5020277681813485</c:v>
                </c:pt>
                <c:pt idx="12">
                  <c:v>1.4959445212146723</c:v>
                </c:pt>
                <c:pt idx="13">
                  <c:v>1.5020277681813485</c:v>
                </c:pt>
                <c:pt idx="14">
                  <c:v>1.4959445212146723</c:v>
                </c:pt>
                <c:pt idx="15">
                  <c:v>1.5020277681813485</c:v>
                </c:pt>
                <c:pt idx="16">
                  <c:v>1.4959445212146723</c:v>
                </c:pt>
                <c:pt idx="17">
                  <c:v>1.5020277681813485</c:v>
                </c:pt>
                <c:pt idx="18">
                  <c:v>1.4959445212146723</c:v>
                </c:pt>
                <c:pt idx="19">
                  <c:v>1.5020277681813485</c:v>
                </c:pt>
                <c:pt idx="20">
                  <c:v>1.4959445212146723</c:v>
                </c:pt>
                <c:pt idx="21">
                  <c:v>1.5020277681813485</c:v>
                </c:pt>
                <c:pt idx="22">
                  <c:v>1.4959445212146723</c:v>
                </c:pt>
                <c:pt idx="23">
                  <c:v>1.5020277681813485</c:v>
                </c:pt>
                <c:pt idx="24">
                  <c:v>1.4959445212146723</c:v>
                </c:pt>
                <c:pt idx="25">
                  <c:v>1.5020277681813485</c:v>
                </c:pt>
                <c:pt idx="26">
                  <c:v>1.4959445212146723</c:v>
                </c:pt>
                <c:pt idx="27">
                  <c:v>1.5020277681813485</c:v>
                </c:pt>
                <c:pt idx="28">
                  <c:v>1.4959445212146723</c:v>
                </c:pt>
                <c:pt idx="29">
                  <c:v>1.5020277681813485</c:v>
                </c:pt>
                <c:pt idx="30">
                  <c:v>1.4959445212146723</c:v>
                </c:pt>
                <c:pt idx="31">
                  <c:v>1.5020277681813485</c:v>
                </c:pt>
                <c:pt idx="32">
                  <c:v>1.4959445212146723</c:v>
                </c:pt>
                <c:pt idx="33">
                  <c:v>1.5020277681813485</c:v>
                </c:pt>
                <c:pt idx="34">
                  <c:v>1.4959445212146723</c:v>
                </c:pt>
                <c:pt idx="35">
                  <c:v>1.5020277681813485</c:v>
                </c:pt>
                <c:pt idx="36">
                  <c:v>1.4959445212146723</c:v>
                </c:pt>
                <c:pt idx="37">
                  <c:v>1.5020277681813485</c:v>
                </c:pt>
                <c:pt idx="38">
                  <c:v>1.4959445212146723</c:v>
                </c:pt>
                <c:pt idx="39">
                  <c:v>1.5020277681813485</c:v>
                </c:pt>
                <c:pt idx="40">
                  <c:v>1.4959445212146723</c:v>
                </c:pt>
                <c:pt idx="41">
                  <c:v>1.5020277681813485</c:v>
                </c:pt>
                <c:pt idx="42">
                  <c:v>1.4959445212146723</c:v>
                </c:pt>
                <c:pt idx="43">
                  <c:v>1.5020277681813485</c:v>
                </c:pt>
                <c:pt idx="44">
                  <c:v>1.4959445212146723</c:v>
                </c:pt>
                <c:pt idx="45">
                  <c:v>1.5020277681813485</c:v>
                </c:pt>
                <c:pt idx="46">
                  <c:v>1.4959445212146723</c:v>
                </c:pt>
                <c:pt idx="47">
                  <c:v>1.5020277681813485</c:v>
                </c:pt>
                <c:pt idx="48">
                  <c:v>1.4959445212146723</c:v>
                </c:pt>
                <c:pt idx="49">
                  <c:v>1.5020277681813485</c:v>
                </c:pt>
                <c:pt idx="50">
                  <c:v>1.4959445212146723</c:v>
                </c:pt>
                <c:pt idx="51">
                  <c:v>1.5020277681813485</c:v>
                </c:pt>
                <c:pt idx="52">
                  <c:v>1.4959445212146723</c:v>
                </c:pt>
                <c:pt idx="53">
                  <c:v>1.5020277681813485</c:v>
                </c:pt>
                <c:pt idx="54">
                  <c:v>1.4959445212146723</c:v>
                </c:pt>
                <c:pt idx="55">
                  <c:v>1.5020277681813485</c:v>
                </c:pt>
                <c:pt idx="56">
                  <c:v>1.4959445212146723</c:v>
                </c:pt>
                <c:pt idx="57">
                  <c:v>1.5020277681813485</c:v>
                </c:pt>
                <c:pt idx="58">
                  <c:v>1.4959445212146723</c:v>
                </c:pt>
                <c:pt idx="59">
                  <c:v>1.5020277681813485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Sheet1!$M$168</c:f>
              <c:strCache>
                <c:ptCount val="1"/>
                <c:pt idx="0">
                  <c:v>Firm 1 output per unit input</c:v>
                </c:pt>
              </c:strCache>
            </c:strRef>
          </c:tx>
          <c:marker>
            <c:symbol val="none"/>
          </c:marker>
          <c:val>
            <c:numRef>
              <c:f>Sheet1!$M$169:$M$228</c:f>
              <c:numCache>
                <c:formatCode>General</c:formatCode>
                <c:ptCount val="60"/>
                <c:pt idx="0">
                  <c:v>1.479731813686024</c:v>
                </c:pt>
                <c:pt idx="1">
                  <c:v>1.4858088463047578</c:v>
                </c:pt>
                <c:pt idx="2">
                  <c:v>1.4918895030121773</c:v>
                </c:pt>
                <c:pt idx="3">
                  <c:v>1.497972231818651</c:v>
                </c:pt>
                <c:pt idx="4">
                  <c:v>1.5040554787853277</c:v>
                </c:pt>
                <c:pt idx="5">
                  <c:v>1.497972231818651</c:v>
                </c:pt>
                <c:pt idx="6">
                  <c:v>1.5040554787853277</c:v>
                </c:pt>
                <c:pt idx="7">
                  <c:v>1.497972231818651</c:v>
                </c:pt>
                <c:pt idx="8">
                  <c:v>1.5040554787853277</c:v>
                </c:pt>
                <c:pt idx="9">
                  <c:v>1.497972231818651</c:v>
                </c:pt>
                <c:pt idx="10">
                  <c:v>1.5040554787853277</c:v>
                </c:pt>
                <c:pt idx="11">
                  <c:v>1.497972231818651</c:v>
                </c:pt>
                <c:pt idx="12">
                  <c:v>1.5040554787853277</c:v>
                </c:pt>
                <c:pt idx="13">
                  <c:v>1.497972231818651</c:v>
                </c:pt>
                <c:pt idx="14">
                  <c:v>1.5040554787853277</c:v>
                </c:pt>
                <c:pt idx="15">
                  <c:v>1.497972231818651</c:v>
                </c:pt>
                <c:pt idx="16">
                  <c:v>1.5040554787853277</c:v>
                </c:pt>
                <c:pt idx="17">
                  <c:v>1.497972231818651</c:v>
                </c:pt>
                <c:pt idx="18">
                  <c:v>1.5040554787853277</c:v>
                </c:pt>
                <c:pt idx="19">
                  <c:v>1.497972231818651</c:v>
                </c:pt>
                <c:pt idx="20">
                  <c:v>1.5040554787853277</c:v>
                </c:pt>
                <c:pt idx="21">
                  <c:v>1.497972231818651</c:v>
                </c:pt>
                <c:pt idx="22">
                  <c:v>1.5040554787853277</c:v>
                </c:pt>
                <c:pt idx="23">
                  <c:v>1.497972231818651</c:v>
                </c:pt>
                <c:pt idx="24">
                  <c:v>1.5040554787853277</c:v>
                </c:pt>
                <c:pt idx="25">
                  <c:v>1.497972231818651</c:v>
                </c:pt>
                <c:pt idx="26">
                  <c:v>1.5040554787853277</c:v>
                </c:pt>
                <c:pt idx="27">
                  <c:v>1.497972231818651</c:v>
                </c:pt>
                <c:pt idx="28">
                  <c:v>1.5040554787853277</c:v>
                </c:pt>
                <c:pt idx="29">
                  <c:v>1.497972231818651</c:v>
                </c:pt>
                <c:pt idx="30">
                  <c:v>1.5040554787853277</c:v>
                </c:pt>
                <c:pt idx="31">
                  <c:v>1.497972231818651</c:v>
                </c:pt>
                <c:pt idx="32">
                  <c:v>1.5040554787853277</c:v>
                </c:pt>
                <c:pt idx="33">
                  <c:v>1.497972231818651</c:v>
                </c:pt>
                <c:pt idx="34">
                  <c:v>1.5040554787853277</c:v>
                </c:pt>
                <c:pt idx="35">
                  <c:v>1.497972231818651</c:v>
                </c:pt>
                <c:pt idx="36">
                  <c:v>1.5040554787853277</c:v>
                </c:pt>
                <c:pt idx="37">
                  <c:v>1.497972231818651</c:v>
                </c:pt>
                <c:pt idx="38">
                  <c:v>1.5040554787853277</c:v>
                </c:pt>
                <c:pt idx="39">
                  <c:v>1.497972231818651</c:v>
                </c:pt>
                <c:pt idx="40">
                  <c:v>1.5040554787853277</c:v>
                </c:pt>
                <c:pt idx="41">
                  <c:v>1.497972231818651</c:v>
                </c:pt>
                <c:pt idx="42">
                  <c:v>1.5040554787853277</c:v>
                </c:pt>
                <c:pt idx="43">
                  <c:v>1.497972231818651</c:v>
                </c:pt>
                <c:pt idx="44">
                  <c:v>1.5040554787853277</c:v>
                </c:pt>
                <c:pt idx="45">
                  <c:v>1.497972231818651</c:v>
                </c:pt>
                <c:pt idx="46">
                  <c:v>1.5040554787853277</c:v>
                </c:pt>
                <c:pt idx="47">
                  <c:v>1.497972231818651</c:v>
                </c:pt>
                <c:pt idx="48">
                  <c:v>1.5040554787853277</c:v>
                </c:pt>
                <c:pt idx="49">
                  <c:v>1.497972231818651</c:v>
                </c:pt>
                <c:pt idx="50">
                  <c:v>1.5040554787853277</c:v>
                </c:pt>
                <c:pt idx="51">
                  <c:v>1.497972231818651</c:v>
                </c:pt>
                <c:pt idx="52">
                  <c:v>1.5040554787853277</c:v>
                </c:pt>
                <c:pt idx="53">
                  <c:v>1.497972231818651</c:v>
                </c:pt>
                <c:pt idx="54">
                  <c:v>1.5040554787853277</c:v>
                </c:pt>
                <c:pt idx="55">
                  <c:v>1.497972231818651</c:v>
                </c:pt>
                <c:pt idx="56">
                  <c:v>1.5040554787853277</c:v>
                </c:pt>
                <c:pt idx="57">
                  <c:v>1.497972231818651</c:v>
                </c:pt>
                <c:pt idx="58">
                  <c:v>1.5040554787853277</c:v>
                </c:pt>
                <c:pt idx="59">
                  <c:v>1.497972231818651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00896"/>
        <c:axId val="38007168"/>
      </c:lineChart>
      <c:catAx>
        <c:axId val="3800089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Spreadsheet iterations  (60)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38007168"/>
        <c:crosses val="autoZero"/>
        <c:auto val="1"/>
        <c:lblAlgn val="ctr"/>
        <c:lblOffset val="100"/>
        <c:noMultiLvlLbl val="0"/>
      </c:catAx>
      <c:valAx>
        <c:axId val="38007168"/>
        <c:scaling>
          <c:orientation val="minMax"/>
          <c:min val="1.4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000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94688</xdr:colOff>
      <xdr:row>0</xdr:row>
      <xdr:rowOff>44824</xdr:rowOff>
    </xdr:from>
    <xdr:to>
      <xdr:col>22</xdr:col>
      <xdr:colOff>201705</xdr:colOff>
      <xdr:row>10</xdr:row>
      <xdr:rowOff>168088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100854</xdr:colOff>
      <xdr:row>11</xdr:row>
      <xdr:rowOff>56029</xdr:rowOff>
    </xdr:from>
    <xdr:to>
      <xdr:col>22</xdr:col>
      <xdr:colOff>207310</xdr:colOff>
      <xdr:row>22</xdr:row>
      <xdr:rowOff>92448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104214</xdr:colOff>
      <xdr:row>22</xdr:row>
      <xdr:rowOff>156883</xdr:rowOff>
    </xdr:from>
    <xdr:to>
      <xdr:col>22</xdr:col>
      <xdr:colOff>224118</xdr:colOff>
      <xdr:row>33</xdr:row>
      <xdr:rowOff>168089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67236</xdr:colOff>
      <xdr:row>34</xdr:row>
      <xdr:rowOff>44824</xdr:rowOff>
    </xdr:from>
    <xdr:to>
      <xdr:col>22</xdr:col>
      <xdr:colOff>251012</xdr:colOff>
      <xdr:row>46</xdr:row>
      <xdr:rowOff>119903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11207</xdr:colOff>
      <xdr:row>3</xdr:row>
      <xdr:rowOff>134471</xdr:rowOff>
    </xdr:from>
    <xdr:to>
      <xdr:col>16</xdr:col>
      <xdr:colOff>22412</xdr:colOff>
      <xdr:row>17</xdr:row>
      <xdr:rowOff>22412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33617</xdr:colOff>
      <xdr:row>18</xdr:row>
      <xdr:rowOff>1</xdr:rowOff>
    </xdr:from>
    <xdr:to>
      <xdr:col>16</xdr:col>
      <xdr:colOff>44824</xdr:colOff>
      <xdr:row>31</xdr:row>
      <xdr:rowOff>134471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9"/>
  <sheetViews>
    <sheetView tabSelected="1" zoomScale="85" zoomScaleNormal="85" workbookViewId="0">
      <selection activeCell="V76" sqref="V76"/>
    </sheetView>
  </sheetViews>
  <sheetFormatPr defaultRowHeight="15" x14ac:dyDescent="0.25"/>
  <sheetData>
    <row r="1" spans="1:11" x14ac:dyDescent="0.25">
      <c r="A1" t="s">
        <v>0</v>
      </c>
      <c r="B1">
        <v>0.8</v>
      </c>
    </row>
    <row r="2" spans="1:11" x14ac:dyDescent="0.25">
      <c r="A2" t="s">
        <v>1</v>
      </c>
      <c r="B2">
        <v>1</v>
      </c>
      <c r="F2" t="s">
        <v>7</v>
      </c>
    </row>
    <row r="3" spans="1:11" x14ac:dyDescent="0.25">
      <c r="A3" t="s">
        <v>13</v>
      </c>
      <c r="D3">
        <v>0.01</v>
      </c>
      <c r="H3" t="s">
        <v>12</v>
      </c>
      <c r="K3" t="s">
        <v>6</v>
      </c>
    </row>
    <row r="4" spans="1:11" x14ac:dyDescent="0.25">
      <c r="B4" t="s">
        <v>9</v>
      </c>
      <c r="C4" t="s">
        <v>2</v>
      </c>
      <c r="D4" s="1" t="s">
        <v>8</v>
      </c>
      <c r="E4" t="s">
        <v>3</v>
      </c>
      <c r="F4" s="1" t="s">
        <v>5</v>
      </c>
      <c r="G4" t="s">
        <v>4</v>
      </c>
      <c r="H4" t="s">
        <v>10</v>
      </c>
      <c r="I4" t="s">
        <v>11</v>
      </c>
    </row>
    <row r="5" spans="1:11" x14ac:dyDescent="0.25">
      <c r="B5" s="2">
        <f t="shared" ref="B5:B16" si="0">B6-$D$3</f>
        <v>0.53666666666666585</v>
      </c>
      <c r="C5" s="2">
        <f t="shared" ref="C5:C16" si="1">C6+$D$3</f>
        <v>0.79666666666666608</v>
      </c>
      <c r="D5" s="1">
        <f t="shared" ref="D5:D34" si="2">((B5^(1/($B$1-1))*$B$2)/(B5^($B$1/($B$1-1))+C5^($B$1/($B$1-1))))</f>
        <v>1.5451640583064097</v>
      </c>
      <c r="E5">
        <f t="shared" ref="E5:E34" si="3">((C5^(1/($B$1-1))*$B$2)/(B5^($B$1/($B$1-1))+C5^($B$1/($B$1-1))))</f>
        <v>0.21434555068062106</v>
      </c>
      <c r="F5" s="1">
        <f>(B5*D5)^2 + (B5*D5)</f>
        <v>1.5168737792770011</v>
      </c>
      <c r="G5" s="1">
        <f>(C5*E5)^2 + (C5*E5)</f>
        <v>0.19992160077924653</v>
      </c>
      <c r="H5">
        <f t="shared" ref="H5:H16" si="4">F5-D5</f>
        <v>-2.8290279029408616E-2</v>
      </c>
      <c r="I5">
        <f t="shared" ref="I5:I16" si="5">G5-E5</f>
        <v>-1.4423949901374522E-2</v>
      </c>
    </row>
    <row r="6" spans="1:11" x14ac:dyDescent="0.25">
      <c r="B6" s="2">
        <f t="shared" si="0"/>
        <v>0.54666666666666586</v>
      </c>
      <c r="C6" s="2">
        <f t="shared" si="1"/>
        <v>0.78666666666666607</v>
      </c>
      <c r="D6" s="1">
        <f t="shared" si="2"/>
        <v>1.48335162279293</v>
      </c>
      <c r="E6">
        <f t="shared" si="3"/>
        <v>0.24038277060152513</v>
      </c>
      <c r="F6" s="1">
        <f t="shared" ref="F6:F34" si="6">(B6*D6)^2 + (B6*D6)</f>
        <v>1.4684558922702839</v>
      </c>
      <c r="G6" s="1">
        <f t="shared" ref="G6:G34" si="7">(C6*E6)^2 + (C6*E6)</f>
        <v>0.22486034376308223</v>
      </c>
      <c r="H6">
        <f t="shared" si="4"/>
        <v>-1.4895730522646033E-2</v>
      </c>
      <c r="I6">
        <f t="shared" si="5"/>
        <v>-1.5522426838442904E-2</v>
      </c>
    </row>
    <row r="7" spans="1:11" x14ac:dyDescent="0.25">
      <c r="B7" s="2">
        <f t="shared" si="0"/>
        <v>0.55666666666666587</v>
      </c>
      <c r="C7" s="2">
        <f t="shared" si="1"/>
        <v>0.77666666666666606</v>
      </c>
      <c r="D7" s="1">
        <f t="shared" si="2"/>
        <v>1.4213187423731228</v>
      </c>
      <c r="E7">
        <f t="shared" si="3"/>
        <v>0.26884021469394381</v>
      </c>
      <c r="F7" s="1">
        <f t="shared" si="6"/>
        <v>1.4171994196366742</v>
      </c>
      <c r="G7" s="1">
        <f t="shared" si="7"/>
        <v>0.25239635328585874</v>
      </c>
      <c r="H7">
        <f t="shared" si="4"/>
        <v>-4.1193227364486606E-3</v>
      </c>
      <c r="I7">
        <f t="shared" si="5"/>
        <v>-1.644386140808507E-2</v>
      </c>
    </row>
    <row r="8" spans="1:11" x14ac:dyDescent="0.25">
      <c r="B8" s="2">
        <f t="shared" si="0"/>
        <v>0.56666666666666587</v>
      </c>
      <c r="C8" s="2">
        <f t="shared" si="1"/>
        <v>0.76666666666666605</v>
      </c>
      <c r="D8" s="1">
        <f t="shared" si="2"/>
        <v>1.3590773356144297</v>
      </c>
      <c r="E8">
        <f t="shared" si="3"/>
        <v>0.29981240411107529</v>
      </c>
      <c r="F8" s="1">
        <f t="shared" si="6"/>
        <v>1.3632653324129032</v>
      </c>
      <c r="G8" s="1">
        <f t="shared" si="7"/>
        <v>0.28269003835353346</v>
      </c>
      <c r="H8">
        <f t="shared" si="4"/>
        <v>4.1879967984734812E-3</v>
      </c>
      <c r="I8">
        <f t="shared" si="5"/>
        <v>-1.7122365757541835E-2</v>
      </c>
    </row>
    <row r="9" spans="1:11" x14ac:dyDescent="0.25">
      <c r="B9" s="2">
        <f t="shared" si="0"/>
        <v>0.57666666666666588</v>
      </c>
      <c r="C9" s="2">
        <f t="shared" si="1"/>
        <v>0.75666666666666604</v>
      </c>
      <c r="D9" s="1">
        <f t="shared" si="2"/>
        <v>1.2966716080652279</v>
      </c>
      <c r="E9">
        <f t="shared" si="3"/>
        <v>0.33337362028509215</v>
      </c>
      <c r="F9" s="1">
        <f t="shared" si="6"/>
        <v>1.3068733096450944</v>
      </c>
      <c r="G9" s="1">
        <f t="shared" si="7"/>
        <v>0.31588413370797253</v>
      </c>
      <c r="H9">
        <f t="shared" si="4"/>
        <v>1.0201701579866551E-2</v>
      </c>
      <c r="I9">
        <f t="shared" si="5"/>
        <v>-1.7489486577119628E-2</v>
      </c>
    </row>
    <row r="10" spans="1:11" x14ac:dyDescent="0.25">
      <c r="B10" s="2">
        <f t="shared" si="0"/>
        <v>0.58666666666666589</v>
      </c>
      <c r="C10" s="2">
        <f t="shared" si="1"/>
        <v>0.74666666666666603</v>
      </c>
      <c r="D10" s="1">
        <f t="shared" si="2"/>
        <v>1.2341786791906495</v>
      </c>
      <c r="E10">
        <f t="shared" si="3"/>
        <v>0.36957389492163389</v>
      </c>
      <c r="F10" s="1">
        <f t="shared" si="6"/>
        <v>1.2483020545578456</v>
      </c>
      <c r="G10" s="1">
        <f t="shared" si="7"/>
        <v>0.35209608739045822</v>
      </c>
      <c r="H10">
        <f t="shared" si="4"/>
        <v>1.41233753671961E-2</v>
      </c>
      <c r="I10">
        <f t="shared" si="5"/>
        <v>-1.7477807531175671E-2</v>
      </c>
    </row>
    <row r="11" spans="1:11" x14ac:dyDescent="0.25">
      <c r="B11" s="2">
        <f t="shared" si="0"/>
        <v>0.5966666666666659</v>
      </c>
      <c r="C11" s="2">
        <f t="shared" si="1"/>
        <v>0.73666666666666603</v>
      </c>
      <c r="D11" s="1">
        <f t="shared" si="2"/>
        <v>1.1717083322423485</v>
      </c>
      <c r="E11">
        <f t="shared" si="3"/>
        <v>0.40843533270868765</v>
      </c>
      <c r="F11" s="1">
        <f t="shared" si="6"/>
        <v>1.187887107394892</v>
      </c>
      <c r="G11" s="1">
        <f t="shared" si="7"/>
        <v>0.39140988777649055</v>
      </c>
      <c r="H11">
        <f t="shared" si="4"/>
        <v>1.6178775152543512E-2</v>
      </c>
      <c r="I11">
        <f t="shared" si="5"/>
        <v>-1.7025444932197098E-2</v>
      </c>
    </row>
    <row r="12" spans="1:11" x14ac:dyDescent="0.25">
      <c r="B12" s="2">
        <f t="shared" si="0"/>
        <v>0.60666666666666591</v>
      </c>
      <c r="C12" s="2">
        <f t="shared" si="1"/>
        <v>0.72666666666666602</v>
      </c>
      <c r="D12" s="1">
        <f t="shared" si="2"/>
        <v>1.1094017251249315</v>
      </c>
      <c r="E12">
        <f t="shared" si="3"/>
        <v>0.44994901847368235</v>
      </c>
      <c r="F12" s="1">
        <f t="shared" si="6"/>
        <v>1.1260159126392544</v>
      </c>
      <c r="G12" s="1">
        <f t="shared" si="7"/>
        <v>0.43386772633609028</v>
      </c>
      <c r="H12">
        <f t="shared" si="4"/>
        <v>1.6614187514322865E-2</v>
      </c>
      <c r="I12">
        <f t="shared" si="5"/>
        <v>-1.6081292137592074E-2</v>
      </c>
    </row>
    <row r="13" spans="1:11" x14ac:dyDescent="0.25">
      <c r="B13" s="2">
        <f t="shared" si="0"/>
        <v>0.61666666666666592</v>
      </c>
      <c r="C13" s="2">
        <f t="shared" si="1"/>
        <v>0.71666666666666601</v>
      </c>
      <c r="D13" s="1">
        <f t="shared" si="2"/>
        <v>1.0474289484076462</v>
      </c>
      <c r="E13">
        <f t="shared" si="3"/>
        <v>0.49407276532365502</v>
      </c>
      <c r="F13" s="1">
        <f t="shared" si="6"/>
        <v>1.063120082986506</v>
      </c>
      <c r="G13" s="1">
        <f t="shared" si="7"/>
        <v>0.47946201024764884</v>
      </c>
      <c r="H13">
        <f t="shared" si="4"/>
        <v>1.5691134578859733E-2</v>
      </c>
      <c r="I13">
        <f t="shared" si="5"/>
        <v>-1.4610755076006177E-2</v>
      </c>
    </row>
    <row r="14" spans="1:11" x14ac:dyDescent="0.25">
      <c r="B14" s="2">
        <f t="shared" si="0"/>
        <v>0.62666666666666593</v>
      </c>
      <c r="C14" s="2">
        <f t="shared" si="1"/>
        <v>0.706666666666666</v>
      </c>
      <c r="D14" s="1">
        <f t="shared" si="2"/>
        <v>0.98598538414049908</v>
      </c>
      <c r="E14">
        <f t="shared" si="3"/>
        <v>0.54072994236597427</v>
      </c>
      <c r="F14" s="1">
        <f t="shared" si="6"/>
        <v>0.99966502661689094</v>
      </c>
      <c r="G14" s="1">
        <f t="shared" si="7"/>
        <v>0.52812833037137641</v>
      </c>
      <c r="H14">
        <f t="shared" si="4"/>
        <v>1.3679642476391862E-2</v>
      </c>
      <c r="I14">
        <f t="shared" si="5"/>
        <v>-1.2601611994597861E-2</v>
      </c>
    </row>
    <row r="15" spans="1:11" x14ac:dyDescent="0.25">
      <c r="B15" s="2">
        <f t="shared" si="0"/>
        <v>0.63666666666666594</v>
      </c>
      <c r="C15" s="2">
        <f t="shared" si="1"/>
        <v>0.69666666666666599</v>
      </c>
      <c r="D15" s="1">
        <f t="shared" si="2"/>
        <v>0.92528690231033728</v>
      </c>
      <c r="E15">
        <f t="shared" si="3"/>
        <v>0.58980957731447792</v>
      </c>
      <c r="F15" s="1">
        <f t="shared" si="6"/>
        <v>0.93613734582366348</v>
      </c>
      <c r="G15" s="1">
        <f t="shared" si="7"/>
        <v>0.57974003460667389</v>
      </c>
      <c r="H15">
        <f t="shared" si="4"/>
        <v>1.0850443513326202E-2</v>
      </c>
      <c r="I15">
        <f t="shared" si="5"/>
        <v>-1.0069542707804024E-2</v>
      </c>
    </row>
    <row r="16" spans="1:11" x14ac:dyDescent="0.25">
      <c r="B16" s="2">
        <f t="shared" si="0"/>
        <v>0.64666666666666595</v>
      </c>
      <c r="C16" s="2">
        <f t="shared" si="1"/>
        <v>0.68666666666666598</v>
      </c>
      <c r="D16" s="1">
        <f t="shared" si="2"/>
        <v>0.8655640237832688</v>
      </c>
      <c r="E16">
        <f t="shared" si="3"/>
        <v>0.6411678610973115</v>
      </c>
      <c r="F16" s="1">
        <f t="shared" si="6"/>
        <v>0.87303064448346857</v>
      </c>
      <c r="G16" s="1">
        <f t="shared" si="7"/>
        <v>0.63410503629741577</v>
      </c>
      <c r="H16">
        <f t="shared" si="4"/>
        <v>7.4666207001997664E-3</v>
      </c>
      <c r="I16">
        <f t="shared" si="5"/>
        <v>-7.0628247998957283E-3</v>
      </c>
    </row>
    <row r="17" spans="2:9" x14ac:dyDescent="0.25">
      <c r="B17" s="2">
        <f>B18-$D$3</f>
        <v>0.65666666666666595</v>
      </c>
      <c r="C17" s="2">
        <f>C18+$D$3</f>
        <v>0.67666666666666597</v>
      </c>
      <c r="D17" s="1">
        <f t="shared" si="2"/>
        <v>0.80705527002955713</v>
      </c>
      <c r="E17">
        <f t="shared" si="3"/>
        <v>0.69463109263141654</v>
      </c>
      <c r="F17" s="1">
        <f t="shared" si="6"/>
        <v>0.8108305667474105</v>
      </c>
      <c r="G17" s="1">
        <f t="shared" si="7"/>
        <v>0.69096539080310926</v>
      </c>
      <c r="H17">
        <f>F17-D17</f>
        <v>3.7752967178533714E-3</v>
      </c>
      <c r="I17">
        <f>G17-E17</f>
        <v>-3.6657018283072773E-3</v>
      </c>
    </row>
    <row r="18" spans="2:9" x14ac:dyDescent="0.25">
      <c r="B18" s="2">
        <v>0.66666666666666596</v>
      </c>
      <c r="C18" s="2">
        <v>0.66666666666666596</v>
      </c>
      <c r="D18" s="1">
        <f t="shared" si="2"/>
        <v>0.75000000000000067</v>
      </c>
      <c r="E18">
        <f t="shared" si="3"/>
        <v>0.75000000000000067</v>
      </c>
      <c r="F18" s="1">
        <f t="shared" si="6"/>
        <v>0.74999999999999978</v>
      </c>
      <c r="G18" s="1">
        <f t="shared" si="7"/>
        <v>0.74999999999999978</v>
      </c>
      <c r="H18">
        <f t="shared" ref="H18:H34" si="8">F18-D18</f>
        <v>-8.8817841970012523E-16</v>
      </c>
      <c r="I18">
        <f t="shared" ref="I18:I34" si="9">G18-E18</f>
        <v>-8.8817841970012523E-16</v>
      </c>
    </row>
    <row r="19" spans="2:9" x14ac:dyDescent="0.25">
      <c r="B19" s="2">
        <f>B18+$D$3</f>
        <v>0.67666666666666597</v>
      </c>
      <c r="C19" s="2">
        <f>C18-$D$3</f>
        <v>0.65666666666666595</v>
      </c>
      <c r="D19" s="1">
        <f t="shared" si="2"/>
        <v>0.69463109263141654</v>
      </c>
      <c r="E19">
        <f t="shared" si="3"/>
        <v>0.80705527002955713</v>
      </c>
      <c r="F19" s="1">
        <f t="shared" si="6"/>
        <v>0.69096539080310926</v>
      </c>
      <c r="G19" s="1">
        <f t="shared" si="7"/>
        <v>0.8108305667474105</v>
      </c>
      <c r="H19">
        <f t="shared" si="8"/>
        <v>-3.6657018283072773E-3</v>
      </c>
      <c r="I19">
        <f t="shared" si="9"/>
        <v>3.7752967178533714E-3</v>
      </c>
    </row>
    <row r="20" spans="2:9" x14ac:dyDescent="0.25">
      <c r="B20" s="2">
        <f t="shared" ref="B20:B34" si="10">B19+$D$3</f>
        <v>0.68666666666666598</v>
      </c>
      <c r="C20" s="2">
        <f t="shared" ref="C20:C34" si="11">C19-$D$3</f>
        <v>0.64666666666666595</v>
      </c>
      <c r="D20" s="1">
        <f t="shared" si="2"/>
        <v>0.6411678610973115</v>
      </c>
      <c r="E20">
        <f t="shared" si="3"/>
        <v>0.8655640237832688</v>
      </c>
      <c r="F20" s="1">
        <f t="shared" si="6"/>
        <v>0.63410503629741577</v>
      </c>
      <c r="G20" s="1">
        <f t="shared" si="7"/>
        <v>0.87303064448346857</v>
      </c>
      <c r="H20">
        <f t="shared" si="8"/>
        <v>-7.0628247998957283E-3</v>
      </c>
      <c r="I20">
        <f t="shared" si="9"/>
        <v>7.4666207001997664E-3</v>
      </c>
    </row>
    <row r="21" spans="2:9" x14ac:dyDescent="0.25">
      <c r="B21" s="2">
        <f t="shared" si="10"/>
        <v>0.69666666666666599</v>
      </c>
      <c r="C21" s="2">
        <f t="shared" si="11"/>
        <v>0.63666666666666594</v>
      </c>
      <c r="D21" s="1">
        <f t="shared" si="2"/>
        <v>0.58980957731447792</v>
      </c>
      <c r="E21">
        <f t="shared" si="3"/>
        <v>0.92528690231033728</v>
      </c>
      <c r="F21" s="1">
        <f t="shared" si="6"/>
        <v>0.57974003460667389</v>
      </c>
      <c r="G21" s="1">
        <f t="shared" si="7"/>
        <v>0.93613734582366348</v>
      </c>
      <c r="H21">
        <f t="shared" si="8"/>
        <v>-1.0069542707804024E-2</v>
      </c>
      <c r="I21">
        <f t="shared" si="9"/>
        <v>1.0850443513326202E-2</v>
      </c>
    </row>
    <row r="22" spans="2:9" x14ac:dyDescent="0.25">
      <c r="B22" s="2">
        <f t="shared" si="10"/>
        <v>0.706666666666666</v>
      </c>
      <c r="C22" s="2">
        <f t="shared" si="11"/>
        <v>0.62666666666666593</v>
      </c>
      <c r="D22" s="1">
        <f t="shared" si="2"/>
        <v>0.54072994236597427</v>
      </c>
      <c r="E22">
        <f t="shared" si="3"/>
        <v>0.98598538414049908</v>
      </c>
      <c r="F22" s="1">
        <f t="shared" si="6"/>
        <v>0.52812833037137641</v>
      </c>
      <c r="G22" s="1">
        <f t="shared" si="7"/>
        <v>0.99966502661689094</v>
      </c>
      <c r="H22">
        <f t="shared" si="8"/>
        <v>-1.2601611994597861E-2</v>
      </c>
      <c r="I22">
        <f t="shared" si="9"/>
        <v>1.3679642476391862E-2</v>
      </c>
    </row>
    <row r="23" spans="2:9" x14ac:dyDescent="0.25">
      <c r="B23" s="2">
        <f t="shared" si="10"/>
        <v>0.71666666666666601</v>
      </c>
      <c r="C23" s="2">
        <f t="shared" si="11"/>
        <v>0.61666666666666592</v>
      </c>
      <c r="D23" s="1">
        <f t="shared" si="2"/>
        <v>0.49407276532365502</v>
      </c>
      <c r="E23">
        <f t="shared" si="3"/>
        <v>1.0474289484076462</v>
      </c>
      <c r="F23" s="1">
        <f t="shared" si="6"/>
        <v>0.47946201024764884</v>
      </c>
      <c r="G23" s="1">
        <f t="shared" si="7"/>
        <v>1.063120082986506</v>
      </c>
      <c r="H23">
        <f t="shared" si="8"/>
        <v>-1.4610755076006177E-2</v>
      </c>
      <c r="I23">
        <f t="shared" si="9"/>
        <v>1.5691134578859733E-2</v>
      </c>
    </row>
    <row r="24" spans="2:9" x14ac:dyDescent="0.25">
      <c r="B24" s="2">
        <f t="shared" si="10"/>
        <v>0.72666666666666602</v>
      </c>
      <c r="C24" s="2">
        <f t="shared" si="11"/>
        <v>0.60666666666666591</v>
      </c>
      <c r="D24" s="1">
        <f t="shared" si="2"/>
        <v>0.44994901847368235</v>
      </c>
      <c r="E24">
        <f t="shared" si="3"/>
        <v>1.1094017251249315</v>
      </c>
      <c r="F24" s="1">
        <f t="shared" si="6"/>
        <v>0.43386772633609028</v>
      </c>
      <c r="G24" s="1">
        <f t="shared" si="7"/>
        <v>1.1260159126392544</v>
      </c>
      <c r="H24">
        <f t="shared" si="8"/>
        <v>-1.6081292137592074E-2</v>
      </c>
      <c r="I24">
        <f t="shared" si="9"/>
        <v>1.6614187514322865E-2</v>
      </c>
    </row>
    <row r="25" spans="2:9" x14ac:dyDescent="0.25">
      <c r="B25" s="2">
        <f t="shared" si="10"/>
        <v>0.73666666666666603</v>
      </c>
      <c r="C25" s="2">
        <f t="shared" si="11"/>
        <v>0.5966666666666659</v>
      </c>
      <c r="D25" s="1">
        <f t="shared" si="2"/>
        <v>0.40843533270868765</v>
      </c>
      <c r="E25">
        <f t="shared" si="3"/>
        <v>1.1717083322423485</v>
      </c>
      <c r="F25" s="1">
        <f t="shared" si="6"/>
        <v>0.39140988777649055</v>
      </c>
      <c r="G25" s="1">
        <f t="shared" si="7"/>
        <v>1.187887107394892</v>
      </c>
      <c r="H25">
        <f t="shared" si="8"/>
        <v>-1.7025444932197098E-2</v>
      </c>
      <c r="I25">
        <f t="shared" si="9"/>
        <v>1.6178775152543512E-2</v>
      </c>
    </row>
    <row r="26" spans="2:9" x14ac:dyDescent="0.25">
      <c r="B26" s="2">
        <f t="shared" si="10"/>
        <v>0.74666666666666603</v>
      </c>
      <c r="C26" s="2">
        <f t="shared" si="11"/>
        <v>0.58666666666666589</v>
      </c>
      <c r="D26" s="1">
        <f t="shared" si="2"/>
        <v>0.36957389492163389</v>
      </c>
      <c r="E26">
        <f t="shared" si="3"/>
        <v>1.2341786791906495</v>
      </c>
      <c r="F26" s="1">
        <f t="shared" si="6"/>
        <v>0.35209608739045822</v>
      </c>
      <c r="G26" s="1">
        <f t="shared" si="7"/>
        <v>1.2483020545578456</v>
      </c>
      <c r="H26">
        <f t="shared" si="8"/>
        <v>-1.7477807531175671E-2</v>
      </c>
      <c r="I26">
        <f t="shared" si="9"/>
        <v>1.41233753671961E-2</v>
      </c>
    </row>
    <row r="27" spans="2:9" x14ac:dyDescent="0.25">
      <c r="B27" s="2">
        <f t="shared" si="10"/>
        <v>0.75666666666666604</v>
      </c>
      <c r="C27" s="2">
        <f t="shared" si="11"/>
        <v>0.57666666666666588</v>
      </c>
      <c r="D27" s="1">
        <f t="shared" si="2"/>
        <v>0.33337362028509215</v>
      </c>
      <c r="E27">
        <f t="shared" si="3"/>
        <v>1.2966716080652279</v>
      </c>
      <c r="F27" s="1">
        <f t="shared" si="6"/>
        <v>0.31588413370797253</v>
      </c>
      <c r="G27" s="1">
        <f t="shared" si="7"/>
        <v>1.3068733096450944</v>
      </c>
      <c r="H27">
        <f t="shared" si="8"/>
        <v>-1.7489486577119628E-2</v>
      </c>
      <c r="I27">
        <f t="shared" si="9"/>
        <v>1.0201701579866551E-2</v>
      </c>
    </row>
    <row r="28" spans="2:9" x14ac:dyDescent="0.25">
      <c r="B28" s="2">
        <f t="shared" si="10"/>
        <v>0.76666666666666605</v>
      </c>
      <c r="C28" s="2">
        <f t="shared" si="11"/>
        <v>0.56666666666666587</v>
      </c>
      <c r="D28" s="1">
        <f t="shared" si="2"/>
        <v>0.29981240411107529</v>
      </c>
      <c r="E28">
        <f t="shared" si="3"/>
        <v>1.3590773356144297</v>
      </c>
      <c r="F28" s="1">
        <f t="shared" si="6"/>
        <v>0.28269003835353346</v>
      </c>
      <c r="G28" s="1">
        <f t="shared" si="7"/>
        <v>1.3632653324129032</v>
      </c>
      <c r="H28">
        <f t="shared" si="8"/>
        <v>-1.7122365757541835E-2</v>
      </c>
      <c r="I28">
        <f t="shared" si="9"/>
        <v>4.1879967984734812E-3</v>
      </c>
    </row>
    <row r="29" spans="2:9" x14ac:dyDescent="0.25">
      <c r="B29" s="2">
        <f t="shared" si="10"/>
        <v>0.77666666666666606</v>
      </c>
      <c r="C29" s="2">
        <f t="shared" si="11"/>
        <v>0.55666666666666587</v>
      </c>
      <c r="D29" s="1">
        <f t="shared" si="2"/>
        <v>0.26884021469394381</v>
      </c>
      <c r="E29">
        <f t="shared" si="3"/>
        <v>1.4213187423731228</v>
      </c>
      <c r="F29" s="1">
        <f t="shared" si="6"/>
        <v>0.25239635328585874</v>
      </c>
      <c r="G29" s="1">
        <f t="shared" si="7"/>
        <v>1.4171994196366742</v>
      </c>
      <c r="H29">
        <f t="shared" si="8"/>
        <v>-1.644386140808507E-2</v>
      </c>
      <c r="I29">
        <f t="shared" si="9"/>
        <v>-4.1193227364486606E-3</v>
      </c>
    </row>
    <row r="30" spans="2:9" x14ac:dyDescent="0.25">
      <c r="B30" s="2">
        <f t="shared" si="10"/>
        <v>0.78666666666666607</v>
      </c>
      <c r="C30" s="2">
        <f t="shared" si="11"/>
        <v>0.54666666666666586</v>
      </c>
      <c r="D30" s="1">
        <f t="shared" si="2"/>
        <v>0.24038277060152513</v>
      </c>
      <c r="E30">
        <f t="shared" si="3"/>
        <v>1.48335162279293</v>
      </c>
      <c r="F30" s="1">
        <f t="shared" si="6"/>
        <v>0.22486034376308223</v>
      </c>
      <c r="G30" s="1">
        <f t="shared" si="7"/>
        <v>1.4684558922702839</v>
      </c>
      <c r="H30">
        <f t="shared" si="8"/>
        <v>-1.5522426838442904E-2</v>
      </c>
      <c r="I30">
        <f t="shared" si="9"/>
        <v>-1.4895730522646033E-2</v>
      </c>
    </row>
    <row r="31" spans="2:9" x14ac:dyDescent="0.25">
      <c r="B31" s="2">
        <f t="shared" si="10"/>
        <v>0.79666666666666608</v>
      </c>
      <c r="C31" s="2">
        <f t="shared" si="11"/>
        <v>0.53666666666666585</v>
      </c>
      <c r="D31" s="1">
        <f t="shared" si="2"/>
        <v>0.21434555068062106</v>
      </c>
      <c r="E31">
        <f t="shared" si="3"/>
        <v>1.5451640583064097</v>
      </c>
      <c r="F31" s="1">
        <f t="shared" si="6"/>
        <v>0.19992160077924653</v>
      </c>
      <c r="G31" s="1">
        <f t="shared" si="7"/>
        <v>1.5168737792770011</v>
      </c>
      <c r="H31">
        <f t="shared" si="8"/>
        <v>-1.4423949901374522E-2</v>
      </c>
      <c r="I31">
        <f t="shared" si="9"/>
        <v>-2.8290279029408616E-2</v>
      </c>
    </row>
    <row r="32" spans="2:9" x14ac:dyDescent="0.25">
      <c r="B32" s="2">
        <f t="shared" si="10"/>
        <v>0.80666666666666609</v>
      </c>
      <c r="C32" s="2">
        <f t="shared" si="11"/>
        <v>0.52666666666666584</v>
      </c>
      <c r="D32" s="1">
        <f t="shared" si="2"/>
        <v>0.19061790786606747</v>
      </c>
      <c r="E32">
        <f t="shared" si="3"/>
        <v>1.6067751031418487</v>
      </c>
      <c r="F32" s="1">
        <f t="shared" si="6"/>
        <v>0.17740882211985529</v>
      </c>
      <c r="G32" s="1">
        <f t="shared" si="7"/>
        <v>1.562348372738678</v>
      </c>
      <c r="H32">
        <f t="shared" si="8"/>
        <v>-1.3209085746212185E-2</v>
      </c>
      <c r="I32">
        <f t="shared" si="9"/>
        <v>-4.4426730403170689E-2</v>
      </c>
    </row>
    <row r="33" spans="1:13" x14ac:dyDescent="0.25">
      <c r="B33" s="2">
        <f t="shared" si="10"/>
        <v>0.8166666666666661</v>
      </c>
      <c r="C33" s="2">
        <f t="shared" si="11"/>
        <v>0.51666666666666583</v>
      </c>
      <c r="D33" s="1">
        <f t="shared" si="2"/>
        <v>0.16907709300125257</v>
      </c>
      <c r="E33">
        <f t="shared" si="3"/>
        <v>1.6682329820302815</v>
      </c>
      <c r="F33" s="1">
        <f t="shared" si="6"/>
        <v>0.15714560905379721</v>
      </c>
      <c r="G33" s="1">
        <f t="shared" si="7"/>
        <v>1.6048271052497065</v>
      </c>
      <c r="H33">
        <f t="shared" si="8"/>
        <v>-1.1931483947455357E-2</v>
      </c>
      <c r="I33">
        <f t="shared" si="9"/>
        <v>-6.3405876780574966E-2</v>
      </c>
    </row>
    <row r="34" spans="1:13" x14ac:dyDescent="0.25">
      <c r="B34" s="2">
        <f t="shared" si="10"/>
        <v>0.82666666666666611</v>
      </c>
      <c r="C34" s="2">
        <f t="shared" si="11"/>
        <v>0.50666666666666582</v>
      </c>
      <c r="D34" s="1">
        <f t="shared" si="2"/>
        <v>0.14959203653654099</v>
      </c>
      <c r="E34">
        <f t="shared" si="3"/>
        <v>1.7296129930193314</v>
      </c>
      <c r="F34" s="1">
        <f t="shared" si="6"/>
        <v>0.13895522599144372</v>
      </c>
      <c r="G34" s="1">
        <f t="shared" si="7"/>
        <v>1.6443042251772826</v>
      </c>
      <c r="H34">
        <f t="shared" si="8"/>
        <v>-1.0636810545097269E-2</v>
      </c>
      <c r="I34">
        <f t="shared" si="9"/>
        <v>-8.5308767842048772E-2</v>
      </c>
    </row>
    <row r="35" spans="1:13" x14ac:dyDescent="0.25">
      <c r="B35" s="2" t="s">
        <v>19</v>
      </c>
      <c r="C35" s="2"/>
      <c r="D35" s="3"/>
      <c r="F35" s="3"/>
      <c r="G35" s="3"/>
    </row>
    <row r="36" spans="1:13" x14ac:dyDescent="0.25">
      <c r="B36" s="2">
        <v>0.9</v>
      </c>
      <c r="C36" s="2">
        <v>0.52</v>
      </c>
      <c r="D36" s="1">
        <f>((B36^(1/($B$1-1))*$B$2)/(B36^($B$1/($B$1-1))+C36^($B$1/($B$1-1))))</f>
        <v>0.11140753899060295</v>
      </c>
      <c r="E36">
        <f>((C36^(1/($B$1-1))*$B$2)/(B36^($B$1/($B$1-1))+C36^($B$1/($B$1-1))))</f>
        <v>1.7302561825162646</v>
      </c>
      <c r="F36" s="1">
        <f>(D36/(D36+E36))^2 + (D36/(D36+E36))</f>
        <v>6.4152266391262536E-2</v>
      </c>
      <c r="G36" s="7">
        <f>(E36/(D36+E36))^2 + (E36/(D36+E36))</f>
        <v>1.8221807540253714</v>
      </c>
      <c r="H36">
        <f t="shared" ref="H36" si="12">F36-D36</f>
        <v>-4.7255272599340412E-2</v>
      </c>
      <c r="I36">
        <f t="shared" ref="I36" si="13">G36-E36</f>
        <v>9.1924571509106823E-2</v>
      </c>
    </row>
    <row r="37" spans="1:13" x14ac:dyDescent="0.25">
      <c r="B37" s="2"/>
      <c r="C37" s="2"/>
      <c r="D37" s="3"/>
      <c r="F37" s="3"/>
      <c r="G37" s="3"/>
    </row>
    <row r="38" spans="1:13" x14ac:dyDescent="0.25">
      <c r="B38" s="2"/>
      <c r="C38" s="2"/>
      <c r="D38" s="3"/>
      <c r="F38" s="3"/>
      <c r="G38" s="3"/>
    </row>
    <row r="41" spans="1:13" x14ac:dyDescent="0.25">
      <c r="A41" t="s">
        <v>14</v>
      </c>
      <c r="D41" t="s">
        <v>15</v>
      </c>
      <c r="J41" t="s">
        <v>20</v>
      </c>
    </row>
    <row r="42" spans="1:13" x14ac:dyDescent="0.25">
      <c r="A42">
        <v>3.0000000000000001E-3</v>
      </c>
      <c r="J42" t="s">
        <v>18</v>
      </c>
      <c r="L42" t="s">
        <v>21</v>
      </c>
    </row>
    <row r="43" spans="1:13" x14ac:dyDescent="0.25">
      <c r="B43" s="4" t="s">
        <v>9</v>
      </c>
      <c r="C43" s="4" t="s">
        <v>2</v>
      </c>
      <c r="D43" s="5" t="s">
        <v>8</v>
      </c>
      <c r="E43" s="4" t="s">
        <v>3</v>
      </c>
      <c r="F43" s="5" t="s">
        <v>5</v>
      </c>
      <c r="G43" s="4" t="s">
        <v>4</v>
      </c>
      <c r="H43" s="4" t="s">
        <v>10</v>
      </c>
      <c r="I43" s="4" t="s">
        <v>11</v>
      </c>
      <c r="J43" s="6" t="s">
        <v>16</v>
      </c>
      <c r="K43" s="6" t="s">
        <v>17</v>
      </c>
      <c r="L43" s="6" t="s">
        <v>22</v>
      </c>
      <c r="M43" s="6" t="s">
        <v>23</v>
      </c>
    </row>
    <row r="44" spans="1:13" x14ac:dyDescent="0.25">
      <c r="B44" s="2">
        <v>0.65666666666666595</v>
      </c>
      <c r="C44" s="2">
        <v>0.67666666666666597</v>
      </c>
      <c r="D44" s="1">
        <f>((B44^(1/($B$1-1))*$B$2)/(B44^($B$1/($B$1-1))+C44^($B$1/($B$1-1))))</f>
        <v>0.80705527002955713</v>
      </c>
      <c r="E44">
        <f>((C44^(1/($B$1-1))*$B$2)/(B44^($B$1/($B$1-1))+C44^($B$1/($B$1-1))))</f>
        <v>0.69463109263141654</v>
      </c>
      <c r="F44" s="1">
        <f>(B44*D44)^2 + (B44*D44)</f>
        <v>0.8108305667474105</v>
      </c>
      <c r="G44" s="1">
        <f>(C44*E44)^2 + (C44*E44)</f>
        <v>0.69096539080310926</v>
      </c>
      <c r="H44">
        <f>D44-F44</f>
        <v>-3.7752967178533714E-3</v>
      </c>
      <c r="I44">
        <f>E44-G44</f>
        <v>3.6657018283072773E-3</v>
      </c>
      <c r="J44">
        <f>IF(H44&lt;0,1,0)</f>
        <v>1</v>
      </c>
      <c r="K44">
        <f>IF(I44&lt;0,1,0)</f>
        <v>0</v>
      </c>
      <c r="L44">
        <f>F44/(B44*D44)</f>
        <v>1.5299662939860752</v>
      </c>
      <c r="M44">
        <f>G44/(C44*E44)</f>
        <v>1.4700337060139246</v>
      </c>
    </row>
    <row r="45" spans="1:13" x14ac:dyDescent="0.25">
      <c r="B45" s="3">
        <f t="shared" ref="B45:B92" si="14">IF(J44=1,B44-$A$42,B44+$A$42)</f>
        <v>0.65366666666666595</v>
      </c>
      <c r="C45" s="3">
        <f t="shared" ref="C45:C92" si="15">IF(K44=1,C44-$A$42,C44+$A$42)</f>
        <v>0.67966666666666598</v>
      </c>
      <c r="D45" s="1">
        <f>((B45^(1/($B$1-1))*$B$2)/(B45^($B$1/($B$1-1))+C45^($B$1/($B$1-1))))</f>
        <v>0.82446611079008725</v>
      </c>
      <c r="E45">
        <f>((C45^(1/($B$1-1))*$B$2)/(B45^($B$1/($B$1-1))+C45^($B$1/($B$1-1))))</f>
        <v>0.67838251924504267</v>
      </c>
      <c r="F45" s="1">
        <f t="shared" ref="F45:F92" si="16">(B45*D45)^2 + (B45*D45)</f>
        <v>0.82936726343818234</v>
      </c>
      <c r="G45" s="1">
        <f t="shared" ref="G45:G92" si="17">(C45*E45)^2 + (C45*E45)</f>
        <v>0.67366320575903638</v>
      </c>
      <c r="H45">
        <f t="shared" ref="H45:H108" si="18">D45-F45</f>
        <v>-4.9011526480950973E-3</v>
      </c>
      <c r="I45">
        <f t="shared" ref="I45:I108" si="19">E45-G45</f>
        <v>4.7193134860062935E-3</v>
      </c>
      <c r="J45">
        <f t="shared" ref="J45:J108" si="20">IF(H45&lt;0,1,0)</f>
        <v>1</v>
      </c>
      <c r="K45">
        <f t="shared" ref="K45:K108" si="21">IF(I45&lt;0,1,0)</f>
        <v>0</v>
      </c>
      <c r="L45">
        <f t="shared" ref="L45:L108" si="22">F45/(B45*D45)</f>
        <v>1.5389260144197863</v>
      </c>
      <c r="M45">
        <f t="shared" ref="M45:M108" si="23">G45/(C45*E45)</f>
        <v>1.4610739855802133</v>
      </c>
    </row>
    <row r="46" spans="1:13" x14ac:dyDescent="0.25">
      <c r="A46" s="2"/>
      <c r="B46" s="3">
        <f t="shared" si="14"/>
        <v>0.65066666666666595</v>
      </c>
      <c r="C46" s="3">
        <f t="shared" si="15"/>
        <v>0.68266666666666598</v>
      </c>
      <c r="D46" s="1">
        <f t="shared" ref="D46:D57" si="24">((B46^(1/($B$1-1))*$B$2)/(B46^($B$1/($B$1-1))+C46^($B$1/($B$1-1))))</f>
        <v>0.84200136314623808</v>
      </c>
      <c r="E46">
        <f t="shared" ref="E46:E57" si="25">((C46^(1/($B$1-1))*$B$2)/(B46^($B$1/($B$1-1))+C46^($B$1/($B$1-1))))</f>
        <v>0.66231120075124328</v>
      </c>
      <c r="F46" s="1">
        <f t="shared" si="16"/>
        <v>0.84801523270511903</v>
      </c>
      <c r="G46" s="1">
        <f t="shared" si="17"/>
        <v>0.65656635155651244</v>
      </c>
      <c r="H46">
        <f t="shared" si="18"/>
        <v>-6.0138695588809465E-3</v>
      </c>
      <c r="I46">
        <f t="shared" si="19"/>
        <v>5.7448491947308389E-3</v>
      </c>
      <c r="J46">
        <f t="shared" si="20"/>
        <v>1</v>
      </c>
      <c r="K46">
        <f t="shared" si="21"/>
        <v>0</v>
      </c>
      <c r="L46">
        <f t="shared" si="22"/>
        <v>1.5478622202871517</v>
      </c>
      <c r="M46">
        <f t="shared" si="23"/>
        <v>1.4521377797128483</v>
      </c>
    </row>
    <row r="47" spans="1:13" x14ac:dyDescent="0.25">
      <c r="A47" s="2"/>
      <c r="B47" s="3">
        <f t="shared" si="14"/>
        <v>0.64766666666666595</v>
      </c>
      <c r="C47" s="3">
        <f t="shared" si="15"/>
        <v>0.68566666666666598</v>
      </c>
      <c r="D47" s="1">
        <f t="shared" si="24"/>
        <v>0.85965454582453804</v>
      </c>
      <c r="E47">
        <f t="shared" si="25"/>
        <v>0.64642256561153388</v>
      </c>
      <c r="F47" s="1">
        <f t="shared" si="16"/>
        <v>0.8667619751813016</v>
      </c>
      <c r="G47" s="1">
        <f t="shared" si="17"/>
        <v>0.63968359846520051</v>
      </c>
      <c r="H47">
        <f t="shared" si="18"/>
        <v>-7.1074293567635616E-3</v>
      </c>
      <c r="I47">
        <f t="shared" si="19"/>
        <v>6.7389671463333745E-3</v>
      </c>
      <c r="J47">
        <f t="shared" si="20"/>
        <v>1</v>
      </c>
      <c r="K47">
        <f t="shared" si="21"/>
        <v>0</v>
      </c>
      <c r="L47">
        <f t="shared" si="22"/>
        <v>1.5567695941790254</v>
      </c>
      <c r="M47">
        <f t="shared" si="23"/>
        <v>1.4432304058209746</v>
      </c>
    </row>
    <row r="48" spans="1:13" x14ac:dyDescent="0.25">
      <c r="A48" s="2"/>
      <c r="B48" s="3">
        <f t="shared" si="14"/>
        <v>0.64466666666666594</v>
      </c>
      <c r="C48" s="3">
        <f t="shared" si="15"/>
        <v>0.68866666666666598</v>
      </c>
      <c r="D48" s="1">
        <f t="shared" si="24"/>
        <v>0.87741916060798597</v>
      </c>
      <c r="E48">
        <f t="shared" si="25"/>
        <v>0.63072185062156749</v>
      </c>
      <c r="F48" s="1">
        <f t="shared" si="16"/>
        <v>0.8855947594990643</v>
      </c>
      <c r="G48" s="1">
        <f t="shared" si="17"/>
        <v>0.62302321734460697</v>
      </c>
      <c r="H48">
        <f t="shared" si="18"/>
        <v>-8.1755988910783284E-3</v>
      </c>
      <c r="I48">
        <f t="shared" si="19"/>
        <v>7.6986332769605204E-3</v>
      </c>
      <c r="J48">
        <f t="shared" si="20"/>
        <v>1</v>
      </c>
      <c r="K48">
        <f t="shared" si="21"/>
        <v>0</v>
      </c>
      <c r="L48">
        <f t="shared" si="22"/>
        <v>1.5656428855386144</v>
      </c>
      <c r="M48">
        <f t="shared" si="23"/>
        <v>1.4343571144613856</v>
      </c>
    </row>
    <row r="49" spans="1:13" x14ac:dyDescent="0.25">
      <c r="A49" s="2"/>
      <c r="B49" s="3">
        <f t="shared" si="14"/>
        <v>0.64166666666666594</v>
      </c>
      <c r="C49" s="3">
        <f t="shared" si="15"/>
        <v>0.69166666666666599</v>
      </c>
      <c r="D49" s="1">
        <f t="shared" si="24"/>
        <v>0.89528871028975221</v>
      </c>
      <c r="E49">
        <f t="shared" si="25"/>
        <v>0.61521408804444822</v>
      </c>
      <c r="F49" s="1">
        <f t="shared" si="16"/>
        <v>0.90450065684737391</v>
      </c>
      <c r="G49" s="1">
        <f t="shared" si="17"/>
        <v>0.60659296710367916</v>
      </c>
      <c r="H49">
        <f t="shared" si="18"/>
        <v>-9.2119465576216975E-3</v>
      </c>
      <c r="I49">
        <f t="shared" si="19"/>
        <v>8.6211209407690559E-3</v>
      </c>
      <c r="J49">
        <f t="shared" si="20"/>
        <v>1</v>
      </c>
      <c r="K49">
        <f t="shared" si="21"/>
        <v>0</v>
      </c>
      <c r="L49">
        <f t="shared" si="22"/>
        <v>1.5744769224359236</v>
      </c>
      <c r="M49">
        <f t="shared" si="23"/>
        <v>1.4255230775640764</v>
      </c>
    </row>
    <row r="50" spans="1:13" x14ac:dyDescent="0.25">
      <c r="A50" s="2"/>
      <c r="B50" s="3">
        <f t="shared" si="14"/>
        <v>0.63866666666666594</v>
      </c>
      <c r="C50" s="3">
        <f t="shared" si="15"/>
        <v>0.69466666666666599</v>
      </c>
      <c r="D50" s="1">
        <f t="shared" si="24"/>
        <v>0.91325671653781626</v>
      </c>
      <c r="E50">
        <f t="shared" si="25"/>
        <v>0.59990409362454289</v>
      </c>
      <c r="F50" s="1">
        <f t="shared" si="16"/>
        <v>0.92346657642382379</v>
      </c>
      <c r="G50" s="1">
        <f t="shared" si="17"/>
        <v>0.59040008457521853</v>
      </c>
      <c r="H50">
        <f t="shared" si="18"/>
        <v>-1.0209859886007533E-2</v>
      </c>
      <c r="I50">
        <f t="shared" si="19"/>
        <v>9.5040090493243579E-3</v>
      </c>
      <c r="J50">
        <f t="shared" si="20"/>
        <v>1</v>
      </c>
      <c r="K50">
        <f t="shared" si="21"/>
        <v>0</v>
      </c>
      <c r="L50">
        <f t="shared" si="22"/>
        <v>1.5832666229621513</v>
      </c>
      <c r="M50">
        <f t="shared" si="23"/>
        <v>1.4167333770378487</v>
      </c>
    </row>
    <row r="51" spans="1:13" x14ac:dyDescent="0.25">
      <c r="A51" s="2"/>
      <c r="B51" s="3">
        <f t="shared" si="14"/>
        <v>0.63566666666666594</v>
      </c>
      <c r="C51" s="3">
        <f t="shared" si="15"/>
        <v>0.69766666666666599</v>
      </c>
      <c r="D51" s="1">
        <f t="shared" si="24"/>
        <v>0.93131673758652389</v>
      </c>
      <c r="E51">
        <f t="shared" si="25"/>
        <v>0.58479645552914561</v>
      </c>
      <c r="F51" s="1">
        <f t="shared" si="16"/>
        <v>0.94247930157350601</v>
      </c>
      <c r="G51" s="1">
        <f t="shared" si="17"/>
        <v>0.57445127680350705</v>
      </c>
      <c r="H51">
        <f t="shared" si="18"/>
        <v>-1.1162563986982121E-2</v>
      </c>
      <c r="I51">
        <f t="shared" si="19"/>
        <v>1.034517872563856E-2</v>
      </c>
      <c r="J51">
        <f t="shared" si="20"/>
        <v>1</v>
      </c>
      <c r="K51">
        <f t="shared" si="21"/>
        <v>0</v>
      </c>
      <c r="L51">
        <f t="shared" si="22"/>
        <v>1.5920070061924996</v>
      </c>
      <c r="M51">
        <f t="shared" si="23"/>
        <v>1.4079929938075</v>
      </c>
    </row>
    <row r="52" spans="1:13" x14ac:dyDescent="0.25">
      <c r="A52" s="2"/>
      <c r="B52" s="3">
        <f t="shared" si="14"/>
        <v>0.63266666666666593</v>
      </c>
      <c r="C52" s="3">
        <f t="shared" si="15"/>
        <v>0.70066666666666599</v>
      </c>
      <c r="D52" s="1">
        <f t="shared" si="24"/>
        <v>0.94946238567342522</v>
      </c>
      <c r="E52">
        <f t="shared" si="25"/>
        <v>0.56989552425872603</v>
      </c>
      <c r="F52" s="1">
        <f t="shared" si="16"/>
        <v>0.9615255264025907</v>
      </c>
      <c r="G52" s="1">
        <f t="shared" si="17"/>
        <v>0.55875271572504537</v>
      </c>
      <c r="H52">
        <f t="shared" si="18"/>
        <v>-1.2063140729165478E-2</v>
      </c>
      <c r="I52">
        <f t="shared" si="19"/>
        <v>1.1142808533680659E-2</v>
      </c>
      <c r="J52">
        <f t="shared" si="20"/>
        <v>1</v>
      </c>
      <c r="K52">
        <f t="shared" si="21"/>
        <v>0</v>
      </c>
      <c r="L52">
        <f t="shared" si="22"/>
        <v>1.6006932026693863</v>
      </c>
      <c r="M52">
        <f t="shared" si="23"/>
        <v>1.3993067973306135</v>
      </c>
    </row>
    <row r="53" spans="1:13" x14ac:dyDescent="0.25">
      <c r="A53" s="2"/>
      <c r="B53" s="3">
        <f t="shared" si="14"/>
        <v>0.62966666666666593</v>
      </c>
      <c r="C53" s="3">
        <f t="shared" si="15"/>
        <v>0.703666666666666</v>
      </c>
      <c r="D53" s="1">
        <f t="shared" si="24"/>
        <v>0.96768734414274737</v>
      </c>
      <c r="E53">
        <f t="shared" si="25"/>
        <v>0.55520540355961778</v>
      </c>
      <c r="F53" s="1">
        <f t="shared" si="16"/>
        <v>0.98059189265206281</v>
      </c>
      <c r="G53" s="1">
        <f t="shared" si="17"/>
        <v>0.54331003520453236</v>
      </c>
      <c r="H53">
        <f t="shared" si="18"/>
        <v>-1.2904548509315439E-2</v>
      </c>
      <c r="I53">
        <f t="shared" si="19"/>
        <v>1.1895368355085423E-2</v>
      </c>
      <c r="J53">
        <f t="shared" si="20"/>
        <v>1</v>
      </c>
      <c r="K53">
        <f t="shared" si="21"/>
        <v>0</v>
      </c>
      <c r="L53">
        <f t="shared" si="22"/>
        <v>1.6093204643618826</v>
      </c>
      <c r="M53">
        <f t="shared" si="23"/>
        <v>1.3906795356381174</v>
      </c>
    </row>
    <row r="54" spans="1:13" x14ac:dyDescent="0.25">
      <c r="A54" s="2"/>
      <c r="B54" s="3">
        <f t="shared" si="14"/>
        <v>0.62666666666666593</v>
      </c>
      <c r="C54" s="3">
        <f t="shared" si="15"/>
        <v>0.706666666666666</v>
      </c>
      <c r="D54" s="1">
        <f t="shared" si="24"/>
        <v>0.98598538414049908</v>
      </c>
      <c r="E54">
        <f t="shared" si="25"/>
        <v>0.54072994236597427</v>
      </c>
      <c r="F54" s="1">
        <f t="shared" si="16"/>
        <v>0.99966502661689094</v>
      </c>
      <c r="G54" s="1">
        <f t="shared" si="17"/>
        <v>0.52812833037137641</v>
      </c>
      <c r="H54">
        <f t="shared" si="18"/>
        <v>-1.3679642476391862E-2</v>
      </c>
      <c r="I54">
        <f t="shared" si="19"/>
        <v>1.2601611994597861E-2</v>
      </c>
      <c r="J54">
        <f t="shared" si="20"/>
        <v>1</v>
      </c>
      <c r="K54">
        <f t="shared" si="21"/>
        <v>0</v>
      </c>
      <c r="L54">
        <f t="shared" si="22"/>
        <v>1.6178841740613787</v>
      </c>
      <c r="M54">
        <f t="shared" si="23"/>
        <v>1.3821158259386217</v>
      </c>
    </row>
    <row r="55" spans="1:13" x14ac:dyDescent="0.25">
      <c r="A55" s="2"/>
      <c r="B55" s="3">
        <f t="shared" si="14"/>
        <v>0.62366666666666593</v>
      </c>
      <c r="C55" s="3">
        <f t="shared" si="15"/>
        <v>0.709666666666666</v>
      </c>
      <c r="D55" s="1">
        <f t="shared" si="24"/>
        <v>1.0043503808303442</v>
      </c>
      <c r="E55">
        <f t="shared" si="25"/>
        <v>0.52647272779071363</v>
      </c>
      <c r="F55" s="1">
        <f t="shared" si="16"/>
        <v>1.0187315758977309</v>
      </c>
      <c r="G55" s="1">
        <f t="shared" si="17"/>
        <v>0.51321215918630192</v>
      </c>
      <c r="H55">
        <f t="shared" si="18"/>
        <v>-1.4381195067386665E-2</v>
      </c>
      <c r="I55">
        <f t="shared" si="19"/>
        <v>1.3260568604411715E-2</v>
      </c>
      <c r="J55">
        <f t="shared" si="20"/>
        <v>1</v>
      </c>
      <c r="K55">
        <f t="shared" si="21"/>
        <v>0</v>
      </c>
      <c r="L55">
        <f t="shared" si="22"/>
        <v>1.6263798541778571</v>
      </c>
      <c r="M55">
        <f t="shared" si="23"/>
        <v>1.3736201458221426</v>
      </c>
    </row>
    <row r="56" spans="1:13" x14ac:dyDescent="0.25">
      <c r="A56" s="2"/>
      <c r="B56" s="3">
        <f t="shared" si="14"/>
        <v>0.62066666666666592</v>
      </c>
      <c r="C56" s="3">
        <f t="shared" si="15"/>
        <v>0.712666666666666</v>
      </c>
      <c r="D56" s="1">
        <f t="shared" si="24"/>
        <v>1.0227763290640703</v>
      </c>
      <c r="E56">
        <f t="shared" si="25"/>
        <v>0.5124370791780658</v>
      </c>
      <c r="F56" s="1">
        <f t="shared" si="16"/>
        <v>1.0377782457762055</v>
      </c>
      <c r="G56" s="1">
        <f t="shared" si="17"/>
        <v>0.49856554615314352</v>
      </c>
      <c r="H56">
        <f t="shared" si="18"/>
        <v>-1.5001916712135133E-2</v>
      </c>
      <c r="I56">
        <f t="shared" si="19"/>
        <v>1.3871533024922278E-2</v>
      </c>
      <c r="J56">
        <f t="shared" si="20"/>
        <v>1</v>
      </c>
      <c r="K56">
        <f t="shared" si="21"/>
        <v>0</v>
      </c>
      <c r="L56">
        <f t="shared" si="22"/>
        <v>1.6348031749057654</v>
      </c>
      <c r="M56">
        <f t="shared" si="23"/>
        <v>1.3651968250942346</v>
      </c>
    </row>
    <row r="57" spans="1:13" x14ac:dyDescent="0.25">
      <c r="A57" s="2"/>
      <c r="B57" s="3">
        <f t="shared" si="14"/>
        <v>0.61766666666666592</v>
      </c>
      <c r="C57" s="3">
        <f t="shared" si="15"/>
        <v>0.71566666666666601</v>
      </c>
      <c r="D57" s="1">
        <f t="shared" si="24"/>
        <v>1.0412573584455622</v>
      </c>
      <c r="E57">
        <f t="shared" si="25"/>
        <v>0.49862604322327758</v>
      </c>
      <c r="F57" s="1">
        <f t="shared" si="16"/>
        <v>1.0567918350106353</v>
      </c>
      <c r="G57" s="1">
        <f t="shared" si="17"/>
        <v>0.48419198807780295</v>
      </c>
      <c r="H57">
        <f t="shared" si="18"/>
        <v>-1.5534476565073119E-2</v>
      </c>
      <c r="I57">
        <f t="shared" si="19"/>
        <v>1.4434055145474634E-2</v>
      </c>
      <c r="J57">
        <f t="shared" si="20"/>
        <v>1</v>
      </c>
      <c r="K57">
        <f t="shared" si="21"/>
        <v>0</v>
      </c>
      <c r="L57">
        <f t="shared" si="22"/>
        <v>1.6431499617332084</v>
      </c>
      <c r="M57">
        <f t="shared" si="23"/>
        <v>1.3568500382667921</v>
      </c>
    </row>
    <row r="58" spans="1:13" x14ac:dyDescent="0.25">
      <c r="A58" s="2"/>
      <c r="B58" s="3">
        <f t="shared" si="14"/>
        <v>0.61466666666666592</v>
      </c>
      <c r="C58" s="3">
        <f t="shared" si="15"/>
        <v>0.71866666666666601</v>
      </c>
      <c r="D58" s="1">
        <f t="shared" ref="D58:D69" si="26">((B58^(1/($B$1-1))*$B$2)/(B58^($B$1/($B$1-1))+C58^($B$1/($B$1-1))))</f>
        <v>1.0597877477326798</v>
      </c>
      <c r="E58">
        <f t="shared" ref="E58:E69" si="27">((C58^(1/($B$1-1))*$B$2)/(B58^($B$1/($B$1-1))+C58^($B$1/($B$1-1))))</f>
        <v>0.48504239015813649</v>
      </c>
      <c r="F58" s="1">
        <f t="shared" si="16"/>
        <v>1.0757592708568235</v>
      </c>
      <c r="G58" s="1">
        <f t="shared" si="17"/>
        <v>0.4700944617647449</v>
      </c>
      <c r="H58">
        <f t="shared" si="18"/>
        <v>-1.5971523124143738E-2</v>
      </c>
      <c r="I58">
        <f t="shared" si="19"/>
        <v>1.4947928393391596E-2</v>
      </c>
      <c r="J58">
        <f t="shared" si="20"/>
        <v>1</v>
      </c>
      <c r="K58">
        <f t="shared" si="21"/>
        <v>0</v>
      </c>
      <c r="L58">
        <f t="shared" si="22"/>
        <v>1.6514162022730197</v>
      </c>
      <c r="M58">
        <f t="shared" si="23"/>
        <v>1.3485837977269806</v>
      </c>
    </row>
    <row r="59" spans="1:13" x14ac:dyDescent="0.25">
      <c r="A59" s="2"/>
      <c r="B59" s="3">
        <f t="shared" si="14"/>
        <v>0.61166666666666591</v>
      </c>
      <c r="C59" s="3">
        <f t="shared" si="15"/>
        <v>0.72166666666666601</v>
      </c>
      <c r="D59" s="1">
        <f t="shared" si="26"/>
        <v>1.0783619385272036</v>
      </c>
      <c r="E59">
        <f t="shared" si="27"/>
        <v>0.47168861099426529</v>
      </c>
      <c r="F59" s="1">
        <f t="shared" si="16"/>
        <v>1.0946676431278757</v>
      </c>
      <c r="G59" s="1">
        <f t="shared" si="17"/>
        <v>0.4562754335313205</v>
      </c>
      <c r="H59">
        <f t="shared" si="18"/>
        <v>-1.6305704600672044E-2</v>
      </c>
      <c r="I59">
        <f t="shared" si="19"/>
        <v>1.5413177462944794E-2</v>
      </c>
      <c r="J59">
        <f t="shared" si="20"/>
        <v>1</v>
      </c>
      <c r="K59">
        <f t="shared" si="21"/>
        <v>0</v>
      </c>
      <c r="L59">
        <f t="shared" si="22"/>
        <v>1.6595980523991387</v>
      </c>
      <c r="M59">
        <f t="shared" si="23"/>
        <v>1.3404019476008611</v>
      </c>
    </row>
    <row r="60" spans="1:13" x14ac:dyDescent="0.25">
      <c r="A60" s="2"/>
      <c r="B60" s="3">
        <f t="shared" si="14"/>
        <v>0.60866666666666591</v>
      </c>
      <c r="C60" s="3">
        <f t="shared" si="15"/>
        <v>0.72466666666666602</v>
      </c>
      <c r="D60" s="1">
        <f t="shared" si="26"/>
        <v>1.0969745482090416</v>
      </c>
      <c r="E60">
        <f t="shared" si="27"/>
        <v>0.45856691580970232</v>
      </c>
      <c r="F60" s="1">
        <f t="shared" si="16"/>
        <v>1.1135042371180179</v>
      </c>
      <c r="G60" s="1">
        <f t="shared" si="17"/>
        <v>0.44273687041174087</v>
      </c>
      <c r="H60">
        <f t="shared" si="18"/>
        <v>-1.6529688908976325E-2</v>
      </c>
      <c r="I60">
        <f t="shared" si="19"/>
        <v>1.5830045397961456E-2</v>
      </c>
      <c r="J60">
        <f t="shared" si="20"/>
        <v>1</v>
      </c>
      <c r="K60">
        <f t="shared" si="21"/>
        <v>0</v>
      </c>
      <c r="L60">
        <f t="shared" si="22"/>
        <v>1.6676918416765694</v>
      </c>
      <c r="M60">
        <f t="shared" si="23"/>
        <v>1.3323081583234306</v>
      </c>
    </row>
    <row r="61" spans="1:13" x14ac:dyDescent="0.25">
      <c r="A61" s="2"/>
      <c r="B61" s="3">
        <f t="shared" si="14"/>
        <v>0.60566666666666591</v>
      </c>
      <c r="C61" s="3">
        <f t="shared" si="15"/>
        <v>0.72766666666666602</v>
      </c>
      <c r="D61" s="1">
        <f t="shared" si="26"/>
        <v>1.1156203820770574</v>
      </c>
      <c r="E61">
        <f t="shared" si="27"/>
        <v>0.44567923305817253</v>
      </c>
      <c r="F61" s="1">
        <f t="shared" si="16"/>
        <v>1.1322565652276866</v>
      </c>
      <c r="G61" s="1">
        <f t="shared" si="17"/>
        <v>0.42948025291567271</v>
      </c>
      <c r="H61">
        <f t="shared" si="18"/>
        <v>-1.6636183150629202E-2</v>
      </c>
      <c r="I61">
        <f t="shared" si="19"/>
        <v>1.6198980142499819E-2</v>
      </c>
      <c r="J61">
        <f t="shared" si="20"/>
        <v>1</v>
      </c>
      <c r="K61">
        <f t="shared" si="21"/>
        <v>0</v>
      </c>
      <c r="L61">
        <f t="shared" si="22"/>
        <v>1.6756940780780034</v>
      </c>
      <c r="M61">
        <f t="shared" si="23"/>
        <v>1.3243059219219966</v>
      </c>
    </row>
    <row r="62" spans="1:13" x14ac:dyDescent="0.25">
      <c r="A62" s="2"/>
      <c r="B62" s="3">
        <f t="shared" si="14"/>
        <v>0.60266666666666591</v>
      </c>
      <c r="C62" s="3">
        <f t="shared" si="15"/>
        <v>0.73066666666666602</v>
      </c>
      <c r="D62" s="1">
        <f t="shared" si="26"/>
        <v>1.1342944446651768</v>
      </c>
      <c r="E62">
        <f t="shared" si="27"/>
        <v>0.43302720987470977</v>
      </c>
      <c r="F62" s="1">
        <f t="shared" si="16"/>
        <v>1.1509123971407138</v>
      </c>
      <c r="G62" s="1">
        <f t="shared" si="17"/>
        <v>0.41650658920119787</v>
      </c>
      <c r="H62">
        <f t="shared" si="18"/>
        <v>-1.661795247553699E-2</v>
      </c>
      <c r="I62">
        <f t="shared" si="19"/>
        <v>1.6520620673511899E-2</v>
      </c>
      <c r="J62">
        <f t="shared" si="20"/>
        <v>1</v>
      </c>
      <c r="K62">
        <f t="shared" si="21"/>
        <v>0</v>
      </c>
      <c r="L62">
        <f t="shared" si="22"/>
        <v>1.683601451984879</v>
      </c>
      <c r="M62">
        <f t="shared" si="23"/>
        <v>1.316398548015121</v>
      </c>
    </row>
    <row r="63" spans="1:13" x14ac:dyDescent="0.25">
      <c r="A63" s="2"/>
      <c r="B63" s="3">
        <f t="shared" si="14"/>
        <v>0.5996666666666659</v>
      </c>
      <c r="C63" s="3">
        <f t="shared" si="15"/>
        <v>0.73366666666666602</v>
      </c>
      <c r="D63" s="1">
        <f t="shared" si="26"/>
        <v>1.1529919502087409</v>
      </c>
      <c r="E63">
        <f t="shared" si="27"/>
        <v>0.42061221334596932</v>
      </c>
      <c r="F63" s="1">
        <f t="shared" si="16"/>
        <v>1.1694597884189391</v>
      </c>
      <c r="G63" s="1">
        <f t="shared" si="17"/>
        <v>0.40381643051824262</v>
      </c>
      <c r="H63">
        <f t="shared" si="18"/>
        <v>-1.6467838210198149E-2</v>
      </c>
      <c r="I63">
        <f t="shared" si="19"/>
        <v>1.6795782827726702E-2</v>
      </c>
      <c r="J63">
        <f t="shared" si="20"/>
        <v>1</v>
      </c>
      <c r="K63">
        <f t="shared" si="21"/>
        <v>0</v>
      </c>
      <c r="L63">
        <f t="shared" si="22"/>
        <v>1.6914108394751741</v>
      </c>
      <c r="M63">
        <f t="shared" si="23"/>
        <v>1.3085891605248259</v>
      </c>
    </row>
    <row r="64" spans="1:13" x14ac:dyDescent="0.25">
      <c r="A64" s="2"/>
      <c r="B64" s="3">
        <f t="shared" si="14"/>
        <v>0.5966666666666659</v>
      </c>
      <c r="C64" s="3">
        <f t="shared" si="15"/>
        <v>0.73666666666666603</v>
      </c>
      <c r="D64" s="1">
        <f t="shared" si="26"/>
        <v>1.1717083322423485</v>
      </c>
      <c r="E64">
        <f t="shared" si="27"/>
        <v>0.40843533270868765</v>
      </c>
      <c r="F64" s="1">
        <f t="shared" si="16"/>
        <v>1.187887107394892</v>
      </c>
      <c r="G64" s="1">
        <f t="shared" si="17"/>
        <v>0.39140988777649055</v>
      </c>
      <c r="H64">
        <f t="shared" si="18"/>
        <v>-1.6178775152543512E-2</v>
      </c>
      <c r="I64">
        <f t="shared" si="19"/>
        <v>1.7025444932197098E-2</v>
      </c>
      <c r="J64">
        <f t="shared" si="20"/>
        <v>1</v>
      </c>
      <c r="K64">
        <f t="shared" si="21"/>
        <v>0</v>
      </c>
      <c r="L64">
        <f t="shared" si="22"/>
        <v>1.6991193049046005</v>
      </c>
      <c r="M64">
        <f t="shared" si="23"/>
        <v>1.3008806950953997</v>
      </c>
    </row>
    <row r="65" spans="1:13" x14ac:dyDescent="0.25">
      <c r="A65" s="2"/>
      <c r="B65" s="3">
        <f t="shared" si="14"/>
        <v>0.5936666666666659</v>
      </c>
      <c r="C65" s="3">
        <f t="shared" si="15"/>
        <v>0.73966666666666603</v>
      </c>
      <c r="D65" s="1">
        <f t="shared" si="26"/>
        <v>1.1904392523166398</v>
      </c>
      <c r="E65">
        <f t="shared" si="27"/>
        <v>0.39649738243536176</v>
      </c>
      <c r="F65" s="1">
        <f t="shared" si="16"/>
        <v>1.2061830602591033</v>
      </c>
      <c r="G65" s="1">
        <f t="shared" si="17"/>
        <v>0.37928664909119281</v>
      </c>
      <c r="H65">
        <f t="shared" si="18"/>
        <v>-1.5743807942463439E-2</v>
      </c>
      <c r="I65">
        <f t="shared" si="19"/>
        <v>1.7210733344168949E-2</v>
      </c>
      <c r="J65">
        <f t="shared" si="20"/>
        <v>1</v>
      </c>
      <c r="K65">
        <f t="shared" si="21"/>
        <v>0</v>
      </c>
      <c r="L65">
        <f t="shared" si="22"/>
        <v>1.7067241027919775</v>
      </c>
      <c r="M65">
        <f t="shared" si="23"/>
        <v>1.2932758972080223</v>
      </c>
    </row>
    <row r="66" spans="1:13" x14ac:dyDescent="0.25">
      <c r="A66" s="2"/>
      <c r="B66" s="3">
        <f t="shared" si="14"/>
        <v>0.5906666666666659</v>
      </c>
      <c r="C66" s="3">
        <f t="shared" si="15"/>
        <v>0.74266666666666603</v>
      </c>
      <c r="D66" s="1">
        <f t="shared" si="26"/>
        <v>1.2091806078275034</v>
      </c>
      <c r="E66">
        <f t="shared" si="27"/>
        <v>0.3847989061623282</v>
      </c>
      <c r="F66" s="1">
        <f t="shared" si="16"/>
        <v>1.2243367142548705</v>
      </c>
      <c r="G66" s="1">
        <f t="shared" si="17"/>
        <v>0.36744599816109275</v>
      </c>
      <c r="H66">
        <f t="shared" si="18"/>
        <v>-1.5156106427367089E-2</v>
      </c>
      <c r="I66">
        <f t="shared" si="19"/>
        <v>1.7352908001235456E-2</v>
      </c>
      <c r="J66">
        <f t="shared" si="20"/>
        <v>1</v>
      </c>
      <c r="K66">
        <f t="shared" si="21"/>
        <v>0</v>
      </c>
      <c r="L66">
        <f t="shared" si="22"/>
        <v>1.7142226790234445</v>
      </c>
      <c r="M66">
        <f t="shared" si="23"/>
        <v>1.2857773209765555</v>
      </c>
    </row>
    <row r="67" spans="1:13" x14ac:dyDescent="0.25">
      <c r="A67" s="2"/>
      <c r="B67" s="3">
        <f t="shared" si="14"/>
        <v>0.58766666666666589</v>
      </c>
      <c r="C67" s="3">
        <f t="shared" si="15"/>
        <v>0.74566666666666603</v>
      </c>
      <c r="D67" s="1">
        <f t="shared" si="26"/>
        <v>1.2279285389570369</v>
      </c>
      <c r="E67">
        <f t="shared" si="27"/>
        <v>0.37334018141204622</v>
      </c>
      <c r="F67" s="1">
        <f t="shared" si="16"/>
        <v>1.2423375189097769</v>
      </c>
      <c r="G67" s="1">
        <f t="shared" si="17"/>
        <v>0.35588683333477245</v>
      </c>
      <c r="H67">
        <f t="shared" si="18"/>
        <v>-1.4408979952740042E-2</v>
      </c>
      <c r="I67">
        <f t="shared" si="19"/>
        <v>1.7453348077273778E-2</v>
      </c>
      <c r="J67">
        <f t="shared" si="20"/>
        <v>1</v>
      </c>
      <c r="K67">
        <f t="shared" si="21"/>
        <v>0</v>
      </c>
      <c r="L67">
        <f t="shared" si="22"/>
        <v>1.7216126713937512</v>
      </c>
      <c r="M67">
        <f t="shared" si="23"/>
        <v>1.2783873286062488</v>
      </c>
    </row>
    <row r="68" spans="1:13" x14ac:dyDescent="0.25">
      <c r="A68" s="2"/>
      <c r="B68" s="3">
        <f t="shared" si="14"/>
        <v>0.58466666666666589</v>
      </c>
      <c r="C68" s="3">
        <f t="shared" si="15"/>
        <v>0.74866666666666604</v>
      </c>
      <c r="D68" s="1">
        <f t="shared" si="26"/>
        <v>1.2466794347311909</v>
      </c>
      <c r="E68">
        <f t="shared" si="27"/>
        <v>0.36212122505854633</v>
      </c>
      <c r="F68" s="1">
        <f t="shared" si="16"/>
        <v>1.2601753252497174</v>
      </c>
      <c r="G68" s="1">
        <f t="shared" si="17"/>
        <v>0.34460768722504292</v>
      </c>
      <c r="H68">
        <f t="shared" si="18"/>
        <v>-1.349589051852651E-2</v>
      </c>
      <c r="I68">
        <f t="shared" si="19"/>
        <v>1.7513537833503401E-2</v>
      </c>
      <c r="J68">
        <f t="shared" si="20"/>
        <v>1</v>
      </c>
      <c r="K68">
        <f t="shared" si="21"/>
        <v>0</v>
      </c>
      <c r="L68">
        <f t="shared" si="22"/>
        <v>1.7288919095061686</v>
      </c>
      <c r="M68">
        <f t="shared" si="23"/>
        <v>1.2711080904938314</v>
      </c>
    </row>
    <row r="69" spans="1:13" x14ac:dyDescent="0.25">
      <c r="A69" s="2"/>
      <c r="B69" s="3">
        <f t="shared" si="14"/>
        <v>0.58166666666666589</v>
      </c>
      <c r="C69" s="3">
        <f t="shared" si="15"/>
        <v>0.75166666666666604</v>
      </c>
      <c r="D69" s="1">
        <f t="shared" si="26"/>
        <v>1.2654299382043219</v>
      </c>
      <c r="E69">
        <f t="shared" si="27"/>
        <v>0.35114179948268814</v>
      </c>
      <c r="F69" s="1">
        <f t="shared" si="16"/>
        <v>1.27784040295743</v>
      </c>
      <c r="G69" s="1">
        <f t="shared" si="17"/>
        <v>0.33360674673537805</v>
      </c>
      <c r="H69">
        <f t="shared" si="18"/>
        <v>-1.241046475310803E-2</v>
      </c>
      <c r="I69">
        <f t="shared" si="19"/>
        <v>1.7535052747310098E-2</v>
      </c>
      <c r="J69">
        <f t="shared" si="20"/>
        <v>1</v>
      </c>
      <c r="K69">
        <f t="shared" si="21"/>
        <v>0</v>
      </c>
      <c r="L69">
        <f t="shared" si="22"/>
        <v>1.7360584140555129</v>
      </c>
      <c r="M69">
        <f t="shared" si="23"/>
        <v>1.2639415859444869</v>
      </c>
    </row>
    <row r="70" spans="1:13" x14ac:dyDescent="0.25">
      <c r="A70" s="2"/>
      <c r="B70" s="3">
        <f t="shared" si="14"/>
        <v>0.57866666666666589</v>
      </c>
      <c r="C70" s="3">
        <f t="shared" si="15"/>
        <v>0.75466666666666604</v>
      </c>
      <c r="D70" s="1">
        <f>((B70^(1/($B$1-1))*$B$2)/(B70^($B$1/($B$1-1))+C70^($B$1/($B$1-1))))</f>
        <v>1.2841769507858769</v>
      </c>
      <c r="E70">
        <f>((C70^(1/($B$1-1))*$B$2)/(B70^($B$1/($B$1-1))+C70^($B$1/($B$1-1))))</f>
        <v>0.34040141936206769</v>
      </c>
      <c r="F70" s="1">
        <f t="shared" si="16"/>
        <v>1.2953234554534374</v>
      </c>
      <c r="G70" s="1">
        <f t="shared" si="17"/>
        <v>0.32288187336773155</v>
      </c>
      <c r="H70">
        <f t="shared" si="18"/>
        <v>-1.1146504667560508E-2</v>
      </c>
      <c r="I70">
        <f t="shared" si="19"/>
        <v>1.7519545994336139E-2</v>
      </c>
      <c r="J70">
        <f t="shared" si="20"/>
        <v>1</v>
      </c>
      <c r="K70">
        <f t="shared" si="21"/>
        <v>0</v>
      </c>
      <c r="L70">
        <f t="shared" si="22"/>
        <v>1.7431103955214267</v>
      </c>
      <c r="M70">
        <f t="shared" si="23"/>
        <v>1.2568896044785736</v>
      </c>
    </row>
    <row r="71" spans="1:13" x14ac:dyDescent="0.25">
      <c r="A71" s="2"/>
      <c r="B71" s="3">
        <f t="shared" si="14"/>
        <v>0.57566666666666588</v>
      </c>
      <c r="C71" s="3">
        <f t="shared" si="15"/>
        <v>0.75766666666666604</v>
      </c>
      <c r="D71" s="1">
        <f t="shared" ref="D71:D92" si="28">((B71^(1/($B$1-1))*$B$2)/(B71^($B$1/($B$1-1))+C71^($B$1/($B$1-1))))</f>
        <v>1.3029176357290415</v>
      </c>
      <c r="E71">
        <f t="shared" ref="E71:E92" si="29">((C71^(1/($B$1-1))*$B$2)/(B71^($B$1/($B$1-1))+C71^($B$1/($B$1-1))))</f>
        <v>0.32989935903913276</v>
      </c>
      <c r="F71" s="1">
        <f t="shared" si="16"/>
        <v>1.3126156328926517</v>
      </c>
      <c r="G71" s="1">
        <f t="shared" si="17"/>
        <v>0.3124306236872495</v>
      </c>
      <c r="H71">
        <f t="shared" si="18"/>
        <v>-9.6979971636101947E-3</v>
      </c>
      <c r="I71">
        <f t="shared" si="19"/>
        <v>1.7468735351883258E-2</v>
      </c>
      <c r="J71">
        <f t="shared" si="20"/>
        <v>1</v>
      </c>
      <c r="K71">
        <f t="shared" si="21"/>
        <v>0</v>
      </c>
      <c r="L71">
        <f t="shared" si="22"/>
        <v>1.7500462523013505</v>
      </c>
      <c r="M71">
        <f t="shared" si="23"/>
        <v>1.2499537476986495</v>
      </c>
    </row>
    <row r="72" spans="1:13" x14ac:dyDescent="0.25">
      <c r="A72" s="2"/>
      <c r="B72" s="3">
        <f t="shared" si="14"/>
        <v>0.57266666666666588</v>
      </c>
      <c r="C72" s="3">
        <f t="shared" si="15"/>
        <v>0.76066666666666605</v>
      </c>
      <c r="D72" s="1">
        <f t="shared" si="28"/>
        <v>1.3216494208054506</v>
      </c>
      <c r="E72">
        <f t="shared" si="29"/>
        <v>0.31963466041027155</v>
      </c>
      <c r="F72" s="1">
        <f t="shared" si="16"/>
        <v>1.3297085430846129</v>
      </c>
      <c r="G72" s="1">
        <f t="shared" si="17"/>
        <v>0.30225026982626513</v>
      </c>
      <c r="H72">
        <f t="shared" si="18"/>
        <v>-8.0591222791623895E-3</v>
      </c>
      <c r="I72">
        <f t="shared" si="19"/>
        <v>1.7384390584006426E-2</v>
      </c>
      <c r="J72">
        <f t="shared" si="20"/>
        <v>1</v>
      </c>
      <c r="K72">
        <f t="shared" si="21"/>
        <v>0</v>
      </c>
      <c r="L72">
        <f t="shared" si="22"/>
        <v>1.7568645683145869</v>
      </c>
      <c r="M72">
        <f t="shared" si="23"/>
        <v>1.2431354316854129</v>
      </c>
    </row>
    <row r="73" spans="1:13" x14ac:dyDescent="0.25">
      <c r="A73" s="2"/>
      <c r="B73" s="3">
        <f t="shared" si="14"/>
        <v>0.56966666666666588</v>
      </c>
      <c r="C73" s="3">
        <f t="shared" si="15"/>
        <v>0.76366666666666605</v>
      </c>
      <c r="D73" s="1">
        <f t="shared" si="28"/>
        <v>1.3403700001938965</v>
      </c>
      <c r="E73">
        <f t="shared" si="29"/>
        <v>0.30960614127832181</v>
      </c>
      <c r="F73" s="1">
        <f t="shared" si="16"/>
        <v>1.3465942603592269</v>
      </c>
      <c r="G73" s="1">
        <f t="shared" si="17"/>
        <v>0.29233781991740587</v>
      </c>
      <c r="H73">
        <f t="shared" si="18"/>
        <v>-6.2242601653303975E-3</v>
      </c>
      <c r="I73">
        <f t="shared" si="19"/>
        <v>1.7268321360915939E-2</v>
      </c>
      <c r="J73">
        <f t="shared" si="20"/>
        <v>1</v>
      </c>
      <c r="K73">
        <f t="shared" si="21"/>
        <v>0</v>
      </c>
      <c r="L73">
        <f t="shared" si="22"/>
        <v>1.7635641101104553</v>
      </c>
      <c r="M73">
        <f t="shared" si="23"/>
        <v>1.2364358898895449</v>
      </c>
    </row>
    <row r="74" spans="1:13" x14ac:dyDescent="0.25">
      <c r="A74" s="2"/>
      <c r="B74" s="3">
        <f t="shared" si="14"/>
        <v>0.56666666666666587</v>
      </c>
      <c r="C74" s="3">
        <f t="shared" si="15"/>
        <v>0.76666666666666605</v>
      </c>
      <c r="D74" s="1">
        <f t="shared" si="28"/>
        <v>1.3590773356144297</v>
      </c>
      <c r="E74">
        <f t="shared" si="29"/>
        <v>0.29981240411107529</v>
      </c>
      <c r="F74" s="1">
        <f t="shared" si="16"/>
        <v>1.3632653324129032</v>
      </c>
      <c r="G74" s="1">
        <f t="shared" si="17"/>
        <v>0.28269003835353346</v>
      </c>
      <c r="H74">
        <f t="shared" si="18"/>
        <v>-4.1879967984734812E-3</v>
      </c>
      <c r="I74">
        <f t="shared" si="19"/>
        <v>1.7122365757541835E-2</v>
      </c>
      <c r="J74">
        <f t="shared" si="20"/>
        <v>1</v>
      </c>
      <c r="K74">
        <f t="shared" si="21"/>
        <v>0</v>
      </c>
      <c r="L74">
        <f t="shared" si="22"/>
        <v>1.7701438235148423</v>
      </c>
      <c r="M74">
        <f t="shared" si="23"/>
        <v>1.2298561764851577</v>
      </c>
    </row>
    <row r="75" spans="1:13" x14ac:dyDescent="0.25">
      <c r="A75" s="2"/>
      <c r="B75" s="3">
        <f t="shared" si="14"/>
        <v>0.56366666666666587</v>
      </c>
      <c r="C75" s="3">
        <f t="shared" si="15"/>
        <v>0.76966666666666606</v>
      </c>
      <c r="D75" s="1">
        <f t="shared" si="28"/>
        <v>1.3777696567422626</v>
      </c>
      <c r="E75">
        <f t="shared" si="29"/>
        <v>0.29025184514891184</v>
      </c>
      <c r="F75" s="1">
        <f t="shared" si="16"/>
        <v>1.3797147851820175</v>
      </c>
      <c r="G75" s="1">
        <f t="shared" si="17"/>
        <v>0.27330346578046716</v>
      </c>
      <c r="H75">
        <f t="shared" si="18"/>
        <v>-1.9451284397549173E-3</v>
      </c>
      <c r="I75">
        <f t="shared" si="19"/>
        <v>1.6948379368444677E-2</v>
      </c>
      <c r="J75">
        <f t="shared" si="20"/>
        <v>1</v>
      </c>
      <c r="K75">
        <f t="shared" si="21"/>
        <v>0</v>
      </c>
      <c r="L75">
        <f t="shared" si="22"/>
        <v>1.7766028298503875</v>
      </c>
      <c r="M75">
        <f t="shared" si="23"/>
        <v>1.2233971701496125</v>
      </c>
    </row>
    <row r="76" spans="1:13" x14ac:dyDescent="0.25">
      <c r="B76" s="3">
        <f t="shared" si="14"/>
        <v>0.56066666666666587</v>
      </c>
      <c r="C76" s="3">
        <f t="shared" si="15"/>
        <v>0.77266666666666606</v>
      </c>
      <c r="D76" s="1">
        <f t="shared" si="28"/>
        <v>1.3964454609385035</v>
      </c>
      <c r="E76">
        <f t="shared" si="29"/>
        <v>0.28092266380562597</v>
      </c>
      <c r="F76" s="1">
        <f t="shared" si="16"/>
        <v>1.3959361258016005</v>
      </c>
      <c r="G76" s="1">
        <f t="shared" si="17"/>
        <v>0.26417443873685453</v>
      </c>
      <c r="H76">
        <f t="shared" si="18"/>
        <v>5.0933513690298859E-4</v>
      </c>
      <c r="I76">
        <f t="shared" si="19"/>
        <v>1.6748225068771438E-2</v>
      </c>
      <c r="J76">
        <f t="shared" si="20"/>
        <v>0</v>
      </c>
      <c r="K76">
        <f t="shared" si="21"/>
        <v>0</v>
      </c>
      <c r="L76">
        <f t="shared" si="22"/>
        <v>1.7829404217661866</v>
      </c>
      <c r="M76">
        <f t="shared" si="23"/>
        <v>1.2170595782338136</v>
      </c>
    </row>
    <row r="77" spans="1:13" x14ac:dyDescent="0.25">
      <c r="B77" s="3">
        <f t="shared" si="14"/>
        <v>0.56366666666666587</v>
      </c>
      <c r="C77" s="3">
        <f t="shared" si="15"/>
        <v>0.77566666666666606</v>
      </c>
      <c r="D77" s="1">
        <f t="shared" si="28"/>
        <v>1.3872478494150176</v>
      </c>
      <c r="E77">
        <f t="shared" si="29"/>
        <v>0.28111898867176988</v>
      </c>
      <c r="F77" s="1">
        <f t="shared" si="16"/>
        <v>1.3933839345366708</v>
      </c>
      <c r="G77" s="1">
        <f t="shared" si="17"/>
        <v>0.26560245005561539</v>
      </c>
      <c r="H77">
        <f t="shared" si="18"/>
        <v>-6.1360851216532009E-3</v>
      </c>
      <c r="I77">
        <f t="shared" si="19"/>
        <v>1.5516538616154485E-2</v>
      </c>
      <c r="J77">
        <f t="shared" si="20"/>
        <v>1</v>
      </c>
      <c r="K77">
        <f t="shared" si="21"/>
        <v>0</v>
      </c>
      <c r="L77">
        <f t="shared" si="22"/>
        <v>1.7819453711202637</v>
      </c>
      <c r="M77">
        <f t="shared" si="23"/>
        <v>1.218054628879736</v>
      </c>
    </row>
    <row r="78" spans="1:13" x14ac:dyDescent="0.25">
      <c r="B78" s="3">
        <f t="shared" si="14"/>
        <v>0.56066666666666587</v>
      </c>
      <c r="C78" s="3">
        <f t="shared" si="15"/>
        <v>0.77866666666666606</v>
      </c>
      <c r="D78" s="1">
        <f t="shared" si="28"/>
        <v>1.4057420014213959</v>
      </c>
      <c r="E78">
        <f t="shared" si="29"/>
        <v>0.27206419246969871</v>
      </c>
      <c r="F78" s="1">
        <f t="shared" si="16"/>
        <v>1.4093373324793868</v>
      </c>
      <c r="G78" s="1">
        <f t="shared" si="17"/>
        <v>0.25672660395834063</v>
      </c>
      <c r="H78">
        <f t="shared" si="18"/>
        <v>-3.5953310579908138E-3</v>
      </c>
      <c r="I78">
        <f t="shared" si="19"/>
        <v>1.533758851135808E-2</v>
      </c>
      <c r="J78">
        <f t="shared" si="20"/>
        <v>1</v>
      </c>
      <c r="K78">
        <f t="shared" si="21"/>
        <v>0</v>
      </c>
      <c r="L78">
        <f t="shared" si="22"/>
        <v>1.7881526821302616</v>
      </c>
      <c r="M78">
        <f t="shared" si="23"/>
        <v>1.2118473178697386</v>
      </c>
    </row>
    <row r="79" spans="1:13" x14ac:dyDescent="0.25">
      <c r="B79" s="3">
        <f t="shared" si="14"/>
        <v>0.55766666666666587</v>
      </c>
      <c r="C79" s="3">
        <f t="shared" si="15"/>
        <v>0.78166666666666607</v>
      </c>
      <c r="D79" s="1">
        <f t="shared" si="28"/>
        <v>1.4242178184517269</v>
      </c>
      <c r="E79">
        <f t="shared" si="29"/>
        <v>0.26323394018348178</v>
      </c>
      <c r="F79" s="1">
        <f t="shared" si="16"/>
        <v>1.4250540802864338</v>
      </c>
      <c r="G79" s="1">
        <f t="shared" si="17"/>
        <v>0.24809886659345268</v>
      </c>
      <c r="H79">
        <f t="shared" si="18"/>
        <v>-8.3626183470686399E-4</v>
      </c>
      <c r="I79">
        <f t="shared" si="19"/>
        <v>1.5135073590029108E-2</v>
      </c>
      <c r="J79">
        <f t="shared" si="20"/>
        <v>1</v>
      </c>
      <c r="K79">
        <f t="shared" si="21"/>
        <v>0</v>
      </c>
      <c r="L79">
        <f t="shared" si="22"/>
        <v>1.7942388034232453</v>
      </c>
      <c r="M79">
        <f t="shared" si="23"/>
        <v>1.2057611965767547</v>
      </c>
    </row>
    <row r="80" spans="1:13" x14ac:dyDescent="0.25">
      <c r="B80" s="3">
        <f t="shared" si="14"/>
        <v>0.55466666666666586</v>
      </c>
      <c r="C80" s="3">
        <f t="shared" si="15"/>
        <v>0.78466666666666607</v>
      </c>
      <c r="D80" s="1">
        <f t="shared" si="28"/>
        <v>1.442674563179555</v>
      </c>
      <c r="E80">
        <f t="shared" si="29"/>
        <v>0.2546259672341652</v>
      </c>
      <c r="F80" s="1">
        <f t="shared" si="16"/>
        <v>1.440529118121944</v>
      </c>
      <c r="G80" s="1">
        <f t="shared" si="17"/>
        <v>0.2397151539475762</v>
      </c>
      <c r="H80">
        <f t="shared" si="18"/>
        <v>2.1454450576110506E-3</v>
      </c>
      <c r="I80">
        <f t="shared" si="19"/>
        <v>1.4910813286588998E-2</v>
      </c>
      <c r="J80">
        <f t="shared" si="20"/>
        <v>0</v>
      </c>
      <c r="K80">
        <f t="shared" si="21"/>
        <v>0</v>
      </c>
      <c r="L80">
        <f t="shared" si="22"/>
        <v>1.8002034910435918</v>
      </c>
      <c r="M80">
        <f t="shared" si="23"/>
        <v>1.199796508956408</v>
      </c>
    </row>
    <row r="81" spans="2:13" x14ac:dyDescent="0.25">
      <c r="B81" s="3">
        <f t="shared" si="14"/>
        <v>0.55766666666666587</v>
      </c>
      <c r="C81" s="3">
        <f t="shared" si="15"/>
        <v>0.78766666666666607</v>
      </c>
      <c r="D81" s="1">
        <f t="shared" si="28"/>
        <v>1.4331004869407722</v>
      </c>
      <c r="E81">
        <f t="shared" si="29"/>
        <v>0.25493985837837174</v>
      </c>
      <c r="F81" s="1">
        <f t="shared" si="16"/>
        <v>1.4379008182953661</v>
      </c>
      <c r="G81" s="1">
        <f t="shared" si="17"/>
        <v>0.24113133209282178</v>
      </c>
      <c r="H81">
        <f t="shared" si="18"/>
        <v>-4.8003313545939008E-3</v>
      </c>
      <c r="I81">
        <f t="shared" si="19"/>
        <v>1.380852628554996E-2</v>
      </c>
      <c r="J81">
        <f t="shared" si="20"/>
        <v>1</v>
      </c>
      <c r="K81">
        <f t="shared" si="21"/>
        <v>0</v>
      </c>
      <c r="L81">
        <f t="shared" si="22"/>
        <v>1.7991923715506359</v>
      </c>
      <c r="M81">
        <f t="shared" si="23"/>
        <v>1.2008076284493638</v>
      </c>
    </row>
    <row r="82" spans="2:13" x14ac:dyDescent="0.25">
      <c r="B82" s="3">
        <f t="shared" si="14"/>
        <v>0.55466666666666586</v>
      </c>
      <c r="C82" s="3">
        <f t="shared" si="15"/>
        <v>0.79066666666666607</v>
      </c>
      <c r="D82" s="1">
        <f t="shared" si="28"/>
        <v>1.4513769692695913</v>
      </c>
      <c r="E82">
        <f t="shared" si="29"/>
        <v>0.24658883774679785</v>
      </c>
      <c r="F82" s="1">
        <f t="shared" si="16"/>
        <v>1.4531044117979173</v>
      </c>
      <c r="G82" s="1">
        <f t="shared" si="17"/>
        <v>0.23298270931178899</v>
      </c>
      <c r="H82">
        <f t="shared" si="18"/>
        <v>-1.7274425283260175E-3</v>
      </c>
      <c r="I82">
        <f t="shared" si="19"/>
        <v>1.3606128435008857E-2</v>
      </c>
      <c r="J82">
        <f t="shared" si="20"/>
        <v>1</v>
      </c>
      <c r="K82">
        <f t="shared" si="21"/>
        <v>0</v>
      </c>
      <c r="L82">
        <f t="shared" si="22"/>
        <v>1.8050304256215319</v>
      </c>
      <c r="M82">
        <f t="shared" si="23"/>
        <v>1.1949695743784681</v>
      </c>
    </row>
    <row r="83" spans="2:13" x14ac:dyDescent="0.25">
      <c r="B83" s="3">
        <f t="shared" si="14"/>
        <v>0.55166666666666586</v>
      </c>
      <c r="C83" s="3">
        <f t="shared" si="15"/>
        <v>0.79366666666666608</v>
      </c>
      <c r="D83" s="1">
        <f t="shared" si="28"/>
        <v>1.4696339527450935</v>
      </c>
      <c r="E83">
        <f t="shared" si="29"/>
        <v>0.23845267039347923</v>
      </c>
      <c r="F83" s="1">
        <f t="shared" si="16"/>
        <v>1.4680604870989751</v>
      </c>
      <c r="G83" s="1">
        <f t="shared" si="17"/>
        <v>0.2250682313748068</v>
      </c>
      <c r="H83">
        <f t="shared" si="18"/>
        <v>1.5734656461183771E-3</v>
      </c>
      <c r="I83">
        <f t="shared" si="19"/>
        <v>1.3384439018672423E-2</v>
      </c>
      <c r="J83">
        <f t="shared" si="20"/>
        <v>0</v>
      </c>
      <c r="K83">
        <f t="shared" si="21"/>
        <v>0</v>
      </c>
      <c r="L83">
        <f t="shared" si="22"/>
        <v>1.810748063931042</v>
      </c>
      <c r="M83">
        <f t="shared" si="23"/>
        <v>1.189251936068958</v>
      </c>
    </row>
    <row r="84" spans="2:13" x14ac:dyDescent="0.25">
      <c r="B84" s="3">
        <f t="shared" si="14"/>
        <v>0.55466666666666586</v>
      </c>
      <c r="C84" s="3">
        <f t="shared" si="15"/>
        <v>0.79666666666666608</v>
      </c>
      <c r="D84" s="1">
        <f t="shared" si="28"/>
        <v>1.4598551347546325</v>
      </c>
      <c r="E84">
        <f t="shared" si="29"/>
        <v>0.23882889362690204</v>
      </c>
      <c r="F84" s="1">
        <f t="shared" si="16"/>
        <v>1.4654004825946161</v>
      </c>
      <c r="G84" s="1">
        <f t="shared" si="17"/>
        <v>0.22646855695234303</v>
      </c>
      <c r="H84">
        <f t="shared" si="18"/>
        <v>-5.5453478399836165E-3</v>
      </c>
      <c r="I84">
        <f t="shared" si="19"/>
        <v>1.2360336674559019E-2</v>
      </c>
      <c r="J84">
        <f t="shared" si="20"/>
        <v>1</v>
      </c>
      <c r="K84">
        <f t="shared" si="21"/>
        <v>0</v>
      </c>
      <c r="L84">
        <f t="shared" si="22"/>
        <v>1.8097329814105685</v>
      </c>
      <c r="M84">
        <f t="shared" si="23"/>
        <v>1.190267018589432</v>
      </c>
    </row>
    <row r="85" spans="2:13" x14ac:dyDescent="0.25">
      <c r="B85" s="3">
        <f t="shared" si="14"/>
        <v>0.55166666666666586</v>
      </c>
      <c r="C85" s="3">
        <f t="shared" si="15"/>
        <v>0.79966666666666608</v>
      </c>
      <c r="D85" s="1">
        <f t="shared" si="28"/>
        <v>1.4779345030316744</v>
      </c>
      <c r="E85">
        <f t="shared" si="29"/>
        <v>0.23093722279390688</v>
      </c>
      <c r="F85" s="1">
        <f t="shared" si="16"/>
        <v>1.4800856452673252</v>
      </c>
      <c r="G85" s="1">
        <f t="shared" si="17"/>
        <v>0.21877684191076835</v>
      </c>
      <c r="H85">
        <f t="shared" si="18"/>
        <v>-2.151142235650827E-3</v>
      </c>
      <c r="I85">
        <f t="shared" si="19"/>
        <v>1.2160380883138533E-2</v>
      </c>
      <c r="J85">
        <f t="shared" si="20"/>
        <v>1</v>
      </c>
      <c r="K85">
        <f t="shared" si="21"/>
        <v>0</v>
      </c>
      <c r="L85">
        <f t="shared" si="22"/>
        <v>1.815327200839139</v>
      </c>
      <c r="M85">
        <f t="shared" si="23"/>
        <v>1.1846727991608608</v>
      </c>
    </row>
    <row r="86" spans="2:13" x14ac:dyDescent="0.25">
      <c r="B86" s="3">
        <f t="shared" si="14"/>
        <v>0.54866666666666586</v>
      </c>
      <c r="C86" s="3">
        <f t="shared" si="15"/>
        <v>0.80266666666666608</v>
      </c>
      <c r="D86" s="1">
        <f t="shared" si="28"/>
        <v>1.4959947636106699</v>
      </c>
      <c r="E86">
        <f t="shared" si="29"/>
        <v>0.22325274879436935</v>
      </c>
      <c r="F86" s="1">
        <f t="shared" si="16"/>
        <v>1.4945191391373145</v>
      </c>
      <c r="G86" s="1">
        <f t="shared" si="17"/>
        <v>0.21130929793310269</v>
      </c>
      <c r="H86">
        <f t="shared" si="18"/>
        <v>1.4756244733553636E-3</v>
      </c>
      <c r="I86">
        <f t="shared" si="19"/>
        <v>1.1943450861266663E-2</v>
      </c>
      <c r="J86">
        <f t="shared" si="20"/>
        <v>0</v>
      </c>
      <c r="K86">
        <f t="shared" si="21"/>
        <v>0</v>
      </c>
      <c r="L86">
        <f t="shared" si="22"/>
        <v>1.8208024603010529</v>
      </c>
      <c r="M86">
        <f t="shared" si="23"/>
        <v>1.1791975396989469</v>
      </c>
    </row>
    <row r="87" spans="2:13" x14ac:dyDescent="0.25">
      <c r="B87" s="3">
        <f t="shared" si="14"/>
        <v>0.55166666666666586</v>
      </c>
      <c r="C87" s="3">
        <f t="shared" si="15"/>
        <v>0.80566666666666609</v>
      </c>
      <c r="D87" s="1">
        <f t="shared" si="28"/>
        <v>1.4860185452077517</v>
      </c>
      <c r="E87">
        <f t="shared" si="29"/>
        <v>0.22368196428679135</v>
      </c>
      <c r="F87" s="1">
        <f t="shared" si="16"/>
        <v>1.4918374546532678</v>
      </c>
      <c r="G87" s="1">
        <f t="shared" si="17"/>
        <v>0.2126898648948336</v>
      </c>
      <c r="H87">
        <f t="shared" si="18"/>
        <v>-5.8189094455161072E-3</v>
      </c>
      <c r="I87">
        <f t="shared" si="19"/>
        <v>1.0992099391957749E-2</v>
      </c>
      <c r="J87">
        <f t="shared" si="20"/>
        <v>1</v>
      </c>
      <c r="K87">
        <f t="shared" si="21"/>
        <v>0</v>
      </c>
      <c r="L87">
        <f t="shared" si="22"/>
        <v>1.8197868974396085</v>
      </c>
      <c r="M87">
        <f t="shared" si="23"/>
        <v>1.1802131025603915</v>
      </c>
    </row>
    <row r="88" spans="2:13" x14ac:dyDescent="0.25">
      <c r="B88" s="3">
        <f t="shared" si="14"/>
        <v>0.54866666666666586</v>
      </c>
      <c r="C88" s="3">
        <f t="shared" si="15"/>
        <v>0.80866666666666609</v>
      </c>
      <c r="D88" s="1">
        <f t="shared" si="28"/>
        <v>1.5039044189794675</v>
      </c>
      <c r="E88">
        <f t="shared" si="29"/>
        <v>0.21622973056875525</v>
      </c>
      <c r="F88" s="1">
        <f t="shared" si="16"/>
        <v>1.5060019152766648</v>
      </c>
      <c r="G88" s="1">
        <f t="shared" si="17"/>
        <v>0.20543301708973161</v>
      </c>
      <c r="H88">
        <f t="shared" si="18"/>
        <v>-2.0974962971973543E-3</v>
      </c>
      <c r="I88">
        <f t="shared" si="19"/>
        <v>1.079671347902364E-2</v>
      </c>
      <c r="J88">
        <f t="shared" si="20"/>
        <v>1</v>
      </c>
      <c r="K88">
        <f t="shared" si="21"/>
        <v>0</v>
      </c>
      <c r="L88">
        <f t="shared" si="22"/>
        <v>1.8251422245467332</v>
      </c>
      <c r="M88">
        <f t="shared" si="23"/>
        <v>1.1748577754532665</v>
      </c>
    </row>
    <row r="89" spans="2:13" x14ac:dyDescent="0.25">
      <c r="B89" s="3">
        <f t="shared" si="14"/>
        <v>0.54566666666666586</v>
      </c>
      <c r="C89" s="3">
        <f t="shared" si="15"/>
        <v>0.81166666666666609</v>
      </c>
      <c r="D89" s="1">
        <f t="shared" si="28"/>
        <v>1.5217723195786912</v>
      </c>
      <c r="E89">
        <f t="shared" si="29"/>
        <v>0.20897688412718146</v>
      </c>
      <c r="F89" s="1">
        <f t="shared" si="16"/>
        <v>1.5199120859995403</v>
      </c>
      <c r="G89" s="1">
        <f t="shared" si="17"/>
        <v>0.19839036979912211</v>
      </c>
      <c r="H89">
        <f t="shared" si="18"/>
        <v>1.8602335791508828E-3</v>
      </c>
      <c r="I89">
        <f t="shared" si="19"/>
        <v>1.0586514328059349E-2</v>
      </c>
      <c r="J89">
        <f t="shared" si="20"/>
        <v>0</v>
      </c>
      <c r="K89">
        <f t="shared" si="21"/>
        <v>0</v>
      </c>
      <c r="L89">
        <f t="shared" si="22"/>
        <v>1.8303804290501047</v>
      </c>
      <c r="M89">
        <f t="shared" si="23"/>
        <v>1.1696195709498953</v>
      </c>
    </row>
    <row r="90" spans="2:13" x14ac:dyDescent="0.25">
      <c r="B90" s="3">
        <f t="shared" si="14"/>
        <v>0.54866666666666586</v>
      </c>
      <c r="C90" s="3">
        <f t="shared" si="15"/>
        <v>0.81466666666666609</v>
      </c>
      <c r="D90" s="1">
        <f t="shared" si="28"/>
        <v>1.5116055399178137</v>
      </c>
      <c r="E90">
        <f t="shared" si="29"/>
        <v>0.20945060609463276</v>
      </c>
      <c r="F90" s="1">
        <f t="shared" si="16"/>
        <v>1.5172181438822179</v>
      </c>
      <c r="G90" s="1">
        <f t="shared" si="17"/>
        <v>0.19974785227592751</v>
      </c>
      <c r="H90">
        <f t="shared" si="18"/>
        <v>-5.6126039644042169E-3</v>
      </c>
      <c r="I90">
        <f t="shared" si="19"/>
        <v>9.7027538187052509E-3</v>
      </c>
      <c r="J90">
        <f t="shared" si="20"/>
        <v>1</v>
      </c>
      <c r="K90">
        <f t="shared" si="21"/>
        <v>0</v>
      </c>
      <c r="L90">
        <f t="shared" si="22"/>
        <v>1.8293675729015726</v>
      </c>
      <c r="M90">
        <f t="shared" si="23"/>
        <v>1.1706324270984274</v>
      </c>
    </row>
    <row r="91" spans="2:13" x14ac:dyDescent="0.25">
      <c r="B91" s="3">
        <f t="shared" si="14"/>
        <v>0.54566666666666586</v>
      </c>
      <c r="C91" s="3">
        <f t="shared" si="15"/>
        <v>0.8176666666666661</v>
      </c>
      <c r="D91" s="1">
        <f t="shared" si="28"/>
        <v>1.5293027748710315</v>
      </c>
      <c r="E91">
        <f t="shared" si="29"/>
        <v>0.20241800144155137</v>
      </c>
      <c r="F91" s="1">
        <f t="shared" si="16"/>
        <v>1.5308623523546157</v>
      </c>
      <c r="G91" s="1">
        <f t="shared" si="17"/>
        <v>0.19290416240278252</v>
      </c>
      <c r="H91">
        <f t="shared" si="18"/>
        <v>-1.5595774835841514E-3</v>
      </c>
      <c r="I91">
        <f t="shared" si="19"/>
        <v>9.5138390387688454E-3</v>
      </c>
      <c r="J91">
        <f t="shared" si="20"/>
        <v>1</v>
      </c>
      <c r="K91">
        <f t="shared" si="21"/>
        <v>0</v>
      </c>
      <c r="L91">
        <f t="shared" si="22"/>
        <v>1.8344895474879583</v>
      </c>
      <c r="M91">
        <f t="shared" si="23"/>
        <v>1.1655104525120417</v>
      </c>
    </row>
    <row r="92" spans="2:13" x14ac:dyDescent="0.25">
      <c r="B92" s="3">
        <f t="shared" si="14"/>
        <v>0.54266666666666585</v>
      </c>
      <c r="C92" s="3">
        <f t="shared" si="15"/>
        <v>0.8206666666666661</v>
      </c>
      <c r="D92" s="1">
        <f t="shared" si="28"/>
        <v>1.5469838421748159</v>
      </c>
      <c r="E92">
        <f t="shared" si="29"/>
        <v>0.19557689071462381</v>
      </c>
      <c r="F92" s="1">
        <f t="shared" si="16"/>
        <v>1.5442510477009117</v>
      </c>
      <c r="G92" s="1">
        <f t="shared" si="17"/>
        <v>0.18626478762011642</v>
      </c>
      <c r="H92">
        <f t="shared" si="18"/>
        <v>2.7327944739041765E-3</v>
      </c>
      <c r="I92">
        <f t="shared" si="19"/>
        <v>9.3121030945073902E-3</v>
      </c>
      <c r="J92">
        <f t="shared" si="20"/>
        <v>0</v>
      </c>
      <c r="K92">
        <f t="shared" si="21"/>
        <v>0</v>
      </c>
      <c r="L92">
        <f t="shared" si="22"/>
        <v>1.8394965650201986</v>
      </c>
      <c r="M92">
        <f t="shared" si="23"/>
        <v>1.1605034349798011</v>
      </c>
    </row>
    <row r="93" spans="2:13" x14ac:dyDescent="0.25">
      <c r="B93" s="3">
        <f t="shared" ref="B93:B113" si="30">IF(J92=1,B92-$A$42,B92+$A$42)</f>
        <v>0.54566666666666586</v>
      </c>
      <c r="C93" s="3">
        <f t="shared" ref="C93:C113" si="31">IF(K92=1,C92-$A$42,C92+$A$42)</f>
        <v>0.8236666666666661</v>
      </c>
      <c r="D93" s="1">
        <f t="shared" ref="D93:D113" si="32">((B93^(1/($B$1-1))*$B$2)/(B93^($B$1/($B$1-1))+C93^($B$1/($B$1-1))))</f>
        <v>1.5366328258758852</v>
      </c>
      <c r="E93">
        <f t="shared" ref="E93:E113" si="33">((C93^(1/($B$1-1))*$B$2)/(B93^($B$1/($B$1-1))+C93^($B$1/($B$1-1))))</f>
        <v>0.19608743991953867</v>
      </c>
      <c r="F93" s="1">
        <f t="shared" ref="F93:F113" si="34">(B93*D93)^2 + (B93*D93)</f>
        <v>1.5415536383014876</v>
      </c>
      <c r="G93" s="1">
        <f t="shared" ref="G93:G113" si="35">(C93*E93)^2 + (C93*E93)</f>
        <v>0.18759639035639389</v>
      </c>
      <c r="H93">
        <f t="shared" si="18"/>
        <v>-4.9208124256023833E-3</v>
      </c>
      <c r="I93">
        <f t="shared" si="19"/>
        <v>8.4910495631447813E-3</v>
      </c>
      <c r="J93">
        <f t="shared" si="20"/>
        <v>1</v>
      </c>
      <c r="K93">
        <f t="shared" si="21"/>
        <v>0</v>
      </c>
      <c r="L93">
        <f t="shared" si="22"/>
        <v>1.8384893119862735</v>
      </c>
      <c r="M93">
        <f t="shared" si="23"/>
        <v>1.1615106880137267</v>
      </c>
    </row>
    <row r="94" spans="2:13" x14ac:dyDescent="0.25">
      <c r="B94" s="3">
        <f t="shared" si="30"/>
        <v>0.54266666666666585</v>
      </c>
      <c r="C94" s="3">
        <f t="shared" si="31"/>
        <v>0.82666666666666611</v>
      </c>
      <c r="D94" s="1">
        <f t="shared" si="32"/>
        <v>1.5541473591892914</v>
      </c>
      <c r="E94">
        <f t="shared" si="33"/>
        <v>0.18945487872574077</v>
      </c>
      <c r="F94" s="1">
        <f t="shared" si="34"/>
        <v>1.5546804825778611</v>
      </c>
      <c r="G94" s="1">
        <f t="shared" si="35"/>
        <v>0.18114461489764422</v>
      </c>
      <c r="H94">
        <f t="shared" si="18"/>
        <v>-5.3312338856970065E-4</v>
      </c>
      <c r="I94">
        <f t="shared" si="19"/>
        <v>8.310263828096548E-3</v>
      </c>
      <c r="J94">
        <f t="shared" si="20"/>
        <v>1</v>
      </c>
      <c r="K94">
        <f t="shared" si="21"/>
        <v>0</v>
      </c>
      <c r="L94">
        <f t="shared" si="22"/>
        <v>1.843383966920054</v>
      </c>
      <c r="M94">
        <f t="shared" si="23"/>
        <v>1.1566160330799458</v>
      </c>
    </row>
    <row r="95" spans="2:13" x14ac:dyDescent="0.25">
      <c r="B95" s="3">
        <f t="shared" si="30"/>
        <v>0.53966666666666585</v>
      </c>
      <c r="C95" s="3">
        <f t="shared" si="31"/>
        <v>0.82966666666666611</v>
      </c>
      <c r="D95" s="1">
        <f t="shared" si="32"/>
        <v>1.5716481317976738</v>
      </c>
      <c r="E95">
        <f t="shared" si="33"/>
        <v>0.18300589578930115</v>
      </c>
      <c r="F95" s="1">
        <f t="shared" si="34"/>
        <v>1.5675518560005672</v>
      </c>
      <c r="G95" s="1">
        <f t="shared" si="35"/>
        <v>0.17488742215999376</v>
      </c>
      <c r="H95">
        <f t="shared" si="18"/>
        <v>4.0962757971065855E-3</v>
      </c>
      <c r="I95">
        <f t="shared" si="19"/>
        <v>8.1184736293073989E-3</v>
      </c>
      <c r="J95">
        <f t="shared" si="20"/>
        <v>0</v>
      </c>
      <c r="K95">
        <f t="shared" si="21"/>
        <v>0</v>
      </c>
      <c r="L95">
        <f t="shared" si="22"/>
        <v>1.8481661084601435</v>
      </c>
      <c r="M95">
        <f t="shared" si="23"/>
        <v>1.1518338915398567</v>
      </c>
    </row>
    <row r="96" spans="2:13" x14ac:dyDescent="0.25">
      <c r="B96" s="3">
        <f t="shared" si="30"/>
        <v>0.54266666666666585</v>
      </c>
      <c r="C96" s="3">
        <f t="shared" si="31"/>
        <v>0.83266666666666611</v>
      </c>
      <c r="D96" s="1">
        <f t="shared" si="32"/>
        <v>1.5611186832170889</v>
      </c>
      <c r="E96">
        <f t="shared" si="33"/>
        <v>0.1835463505694889</v>
      </c>
      <c r="F96" s="1">
        <f t="shared" si="34"/>
        <v>1.5648591201302047</v>
      </c>
      <c r="G96" s="1">
        <f t="shared" si="35"/>
        <v>0.17619083176031519</v>
      </c>
      <c r="H96">
        <f t="shared" si="18"/>
        <v>-3.7404369131157633E-3</v>
      </c>
      <c r="I96">
        <f t="shared" si="19"/>
        <v>7.3555188091737056E-3</v>
      </c>
      <c r="J96">
        <f t="shared" si="20"/>
        <v>1</v>
      </c>
      <c r="K96">
        <f t="shared" si="21"/>
        <v>0</v>
      </c>
      <c r="L96">
        <f t="shared" si="22"/>
        <v>1.8471670720924724</v>
      </c>
      <c r="M96">
        <f t="shared" si="23"/>
        <v>1.1528329279075278</v>
      </c>
    </row>
    <row r="97" spans="2:13" x14ac:dyDescent="0.25">
      <c r="B97" s="3">
        <f t="shared" si="30"/>
        <v>0.53966666666666585</v>
      </c>
      <c r="C97" s="3">
        <f t="shared" si="31"/>
        <v>0.83566666666666611</v>
      </c>
      <c r="D97" s="1">
        <f t="shared" si="32"/>
        <v>1.5784573881653714</v>
      </c>
      <c r="E97">
        <f t="shared" si="33"/>
        <v>0.17729457062635351</v>
      </c>
      <c r="F97" s="1">
        <f t="shared" si="34"/>
        <v>1.5774736489771592</v>
      </c>
      <c r="G97" s="1">
        <f t="shared" si="35"/>
        <v>0.17011030039084968</v>
      </c>
      <c r="H97">
        <f t="shared" si="18"/>
        <v>9.8373918821215156E-4</v>
      </c>
      <c r="I97">
        <f t="shared" si="19"/>
        <v>7.1842702355038313E-3</v>
      </c>
      <c r="J97">
        <f t="shared" si="20"/>
        <v>0</v>
      </c>
      <c r="K97">
        <f t="shared" si="21"/>
        <v>0</v>
      </c>
      <c r="L97">
        <f t="shared" si="22"/>
        <v>1.8518408371465773</v>
      </c>
      <c r="M97">
        <f t="shared" si="23"/>
        <v>1.1481591628534227</v>
      </c>
    </row>
    <row r="98" spans="2:13" x14ac:dyDescent="0.25">
      <c r="B98" s="3">
        <f t="shared" si="30"/>
        <v>0.54266666666666585</v>
      </c>
      <c r="C98" s="3">
        <f t="shared" si="31"/>
        <v>0.83866666666666612</v>
      </c>
      <c r="D98" s="1">
        <f t="shared" si="32"/>
        <v>1.5679028204241658</v>
      </c>
      <c r="E98">
        <f t="shared" si="33"/>
        <v>0.17784348503555725</v>
      </c>
      <c r="F98" s="1">
        <f t="shared" si="34"/>
        <v>1.5747919326027207</v>
      </c>
      <c r="G98" s="1">
        <f t="shared" si="35"/>
        <v>0.17139754373533653</v>
      </c>
      <c r="H98">
        <f t="shared" si="18"/>
        <v>-6.8891121785548126E-3</v>
      </c>
      <c r="I98">
        <f t="shared" si="19"/>
        <v>6.44594130022072E-3</v>
      </c>
      <c r="J98">
        <f t="shared" si="20"/>
        <v>1</v>
      </c>
      <c r="K98">
        <f t="shared" si="21"/>
        <v>0</v>
      </c>
      <c r="L98">
        <f t="shared" si="22"/>
        <v>1.850848597216846</v>
      </c>
      <c r="M98">
        <f t="shared" si="23"/>
        <v>1.149151402783154</v>
      </c>
    </row>
    <row r="99" spans="2:13" x14ac:dyDescent="0.25">
      <c r="B99" s="3">
        <f t="shared" si="30"/>
        <v>0.53966666666666585</v>
      </c>
      <c r="C99" s="3">
        <f t="shared" si="31"/>
        <v>0.84166666666666612</v>
      </c>
      <c r="D99" s="1">
        <f t="shared" si="32"/>
        <v>1.5850826778073877</v>
      </c>
      <c r="E99">
        <f t="shared" si="33"/>
        <v>0.17178263153657183</v>
      </c>
      <c r="F99" s="1">
        <f t="shared" si="34"/>
        <v>1.5871533059776786</v>
      </c>
      <c r="G99" s="1">
        <f t="shared" si="35"/>
        <v>0.1654881654841367</v>
      </c>
      <c r="H99">
        <f t="shared" si="18"/>
        <v>-2.0706281702909113E-3</v>
      </c>
      <c r="I99">
        <f t="shared" si="19"/>
        <v>6.2944660524351381E-3</v>
      </c>
      <c r="J99">
        <f t="shared" si="20"/>
        <v>1</v>
      </c>
      <c r="K99">
        <f t="shared" si="21"/>
        <v>0</v>
      </c>
      <c r="L99">
        <f t="shared" si="22"/>
        <v>1.8554162851233853</v>
      </c>
      <c r="M99">
        <f t="shared" si="23"/>
        <v>1.1445837148766145</v>
      </c>
    </row>
    <row r="100" spans="2:13" x14ac:dyDescent="0.25">
      <c r="B100" s="3">
        <f t="shared" si="30"/>
        <v>0.53666666666666585</v>
      </c>
      <c r="C100" s="3">
        <f t="shared" si="31"/>
        <v>0.84466666666666612</v>
      </c>
      <c r="D100" s="1">
        <f t="shared" si="32"/>
        <v>1.602253228384827</v>
      </c>
      <c r="E100">
        <f t="shared" si="33"/>
        <v>0.16589277912408559</v>
      </c>
      <c r="F100" s="1">
        <f t="shared" si="34"/>
        <v>1.5992624613152748</v>
      </c>
      <c r="G100" s="1">
        <f t="shared" si="35"/>
        <v>0.15975886438251824</v>
      </c>
      <c r="H100">
        <f t="shared" si="18"/>
        <v>2.9907670695521471E-3</v>
      </c>
      <c r="I100">
        <f t="shared" si="19"/>
        <v>6.1339147415673534E-3</v>
      </c>
      <c r="J100">
        <f t="shared" si="20"/>
        <v>0</v>
      </c>
      <c r="K100">
        <f t="shared" si="21"/>
        <v>0</v>
      </c>
      <c r="L100">
        <f t="shared" si="22"/>
        <v>1.8598758992331892</v>
      </c>
      <c r="M100">
        <f t="shared" si="23"/>
        <v>1.140124100766811</v>
      </c>
    </row>
    <row r="101" spans="2:13" x14ac:dyDescent="0.25">
      <c r="B101" s="3">
        <f t="shared" si="30"/>
        <v>0.53966666666666585</v>
      </c>
      <c r="C101" s="3">
        <f t="shared" si="31"/>
        <v>0.84766666666666612</v>
      </c>
      <c r="D101" s="1">
        <f t="shared" si="32"/>
        <v>1.5915289149503755</v>
      </c>
      <c r="E101">
        <f t="shared" si="33"/>
        <v>0.16646271596356538</v>
      </c>
      <c r="F101" s="1">
        <f t="shared" si="34"/>
        <v>1.5965959048570961</v>
      </c>
      <c r="G101" s="1">
        <f t="shared" si="35"/>
        <v>0.16101548711755764</v>
      </c>
      <c r="H101">
        <f t="shared" si="18"/>
        <v>-5.0669899067206092E-3</v>
      </c>
      <c r="I101">
        <f t="shared" si="19"/>
        <v>5.4472288460077345E-3</v>
      </c>
      <c r="J101">
        <f t="shared" si="20"/>
        <v>1</v>
      </c>
      <c r="K101">
        <f t="shared" si="21"/>
        <v>0</v>
      </c>
      <c r="L101">
        <f t="shared" si="22"/>
        <v>1.8588951044348847</v>
      </c>
      <c r="M101">
        <f t="shared" si="23"/>
        <v>1.1411048955651155</v>
      </c>
    </row>
    <row r="102" spans="2:13" x14ac:dyDescent="0.25">
      <c r="B102" s="3">
        <f t="shared" si="30"/>
        <v>0.53666666666666585</v>
      </c>
      <c r="C102" s="3">
        <f t="shared" si="31"/>
        <v>0.85066666666666613</v>
      </c>
      <c r="D102" s="1">
        <f t="shared" si="32"/>
        <v>1.608545399110348</v>
      </c>
      <c r="E102">
        <f t="shared" si="33"/>
        <v>0.16075309852364567</v>
      </c>
      <c r="F102" s="1">
        <f t="shared" si="34"/>
        <v>1.6084579173025149</v>
      </c>
      <c r="G102" s="1">
        <f t="shared" si="35"/>
        <v>0.15544712721230641</v>
      </c>
      <c r="H102">
        <f t="shared" si="18"/>
        <v>8.7481807833134084E-5</v>
      </c>
      <c r="I102">
        <f t="shared" si="19"/>
        <v>5.3059713113392526E-3</v>
      </c>
      <c r="J102">
        <f t="shared" si="20"/>
        <v>0</v>
      </c>
      <c r="K102">
        <f t="shared" si="21"/>
        <v>0</v>
      </c>
      <c r="L102">
        <f t="shared" si="22"/>
        <v>1.8632526975225521</v>
      </c>
      <c r="M102">
        <f t="shared" si="23"/>
        <v>1.1367473024774477</v>
      </c>
    </row>
    <row r="103" spans="2:13" x14ac:dyDescent="0.25">
      <c r="B103" s="3">
        <f t="shared" si="30"/>
        <v>0.53966666666666585</v>
      </c>
      <c r="C103" s="3">
        <f t="shared" si="31"/>
        <v>0.85366666666666613</v>
      </c>
      <c r="D103" s="1">
        <f t="shared" si="32"/>
        <v>1.5978009191778912</v>
      </c>
      <c r="E103">
        <f t="shared" si="33"/>
        <v>0.16132772817297877</v>
      </c>
      <c r="F103" s="1">
        <f t="shared" si="34"/>
        <v>1.6058065151810925</v>
      </c>
      <c r="G103" s="1">
        <f t="shared" si="35"/>
        <v>0.15668693098242326</v>
      </c>
      <c r="H103">
        <f t="shared" si="18"/>
        <v>-8.0055960032012763E-3</v>
      </c>
      <c r="I103">
        <f t="shared" si="19"/>
        <v>4.6407971905555179E-3</v>
      </c>
      <c r="J103">
        <f t="shared" si="20"/>
        <v>1</v>
      </c>
      <c r="K103">
        <f t="shared" si="21"/>
        <v>0</v>
      </c>
      <c r="L103">
        <f t="shared" si="22"/>
        <v>1.8622798960496674</v>
      </c>
      <c r="M103">
        <f t="shared" si="23"/>
        <v>1.1377201039503326</v>
      </c>
    </row>
    <row r="104" spans="2:13" x14ac:dyDescent="0.25">
      <c r="B104" s="3">
        <f t="shared" si="30"/>
        <v>0.53666666666666585</v>
      </c>
      <c r="C104" s="3">
        <f t="shared" si="31"/>
        <v>0.85666666666666613</v>
      </c>
      <c r="D104" s="1">
        <f t="shared" si="32"/>
        <v>1.6146665872549559</v>
      </c>
      <c r="E104">
        <f t="shared" si="33"/>
        <v>0.15579252705039887</v>
      </c>
      <c r="F104" s="1">
        <f t="shared" si="34"/>
        <v>1.6174253816166551</v>
      </c>
      <c r="G104" s="1">
        <f t="shared" si="35"/>
        <v>0.15127444097602163</v>
      </c>
      <c r="H104">
        <f t="shared" si="18"/>
        <v>-2.758794361699124E-3</v>
      </c>
      <c r="I104">
        <f t="shared" si="19"/>
        <v>4.5180860743772311E-3</v>
      </c>
      <c r="J104">
        <f t="shared" si="20"/>
        <v>1</v>
      </c>
      <c r="K104">
        <f t="shared" si="21"/>
        <v>0</v>
      </c>
      <c r="L104">
        <f t="shared" si="22"/>
        <v>1.8665377351601584</v>
      </c>
      <c r="M104">
        <f t="shared" si="23"/>
        <v>1.1334622648398416</v>
      </c>
    </row>
    <row r="105" spans="2:13" x14ac:dyDescent="0.25">
      <c r="B105" s="3">
        <f t="shared" si="30"/>
        <v>0.53366666666666585</v>
      </c>
      <c r="C105" s="3">
        <f t="shared" si="31"/>
        <v>0.85966666666666613</v>
      </c>
      <c r="D105" s="1">
        <f t="shared" si="32"/>
        <v>1.6315282232348356</v>
      </c>
      <c r="E105">
        <f t="shared" si="33"/>
        <v>0.15041617471928376</v>
      </c>
      <c r="F105" s="1">
        <f t="shared" si="34"/>
        <v>1.6287971851779735</v>
      </c>
      <c r="G105" s="1">
        <f t="shared" si="35"/>
        <v>0.14602827131268328</v>
      </c>
      <c r="H105">
        <f t="shared" si="18"/>
        <v>2.7310380568621451E-3</v>
      </c>
      <c r="I105">
        <f t="shared" si="19"/>
        <v>4.3879034066004741E-3</v>
      </c>
      <c r="J105">
        <f t="shared" si="20"/>
        <v>0</v>
      </c>
      <c r="K105">
        <f t="shared" si="21"/>
        <v>0</v>
      </c>
      <c r="L105">
        <f t="shared" si="22"/>
        <v>1.8706922284663225</v>
      </c>
      <c r="M105">
        <f t="shared" si="23"/>
        <v>1.1293077715336775</v>
      </c>
    </row>
    <row r="106" spans="2:13" x14ac:dyDescent="0.25">
      <c r="B106" s="3">
        <f t="shared" si="30"/>
        <v>0.53666666666666585</v>
      </c>
      <c r="C106" s="3">
        <f t="shared" si="31"/>
        <v>0.86266666666666614</v>
      </c>
      <c r="D106" s="1">
        <f t="shared" si="32"/>
        <v>1.6206214918542627</v>
      </c>
      <c r="E106">
        <f t="shared" si="33"/>
        <v>0.15100440421740388</v>
      </c>
      <c r="F106" s="1">
        <f t="shared" si="34"/>
        <v>1.6261699540594441</v>
      </c>
      <c r="G106" s="1">
        <f t="shared" si="35"/>
        <v>0.14723581821229875</v>
      </c>
      <c r="H106">
        <f t="shared" si="18"/>
        <v>-5.5484622051813481E-3</v>
      </c>
      <c r="I106">
        <f t="shared" si="19"/>
        <v>3.768586005105129E-3</v>
      </c>
      <c r="J106">
        <f t="shared" si="20"/>
        <v>1</v>
      </c>
      <c r="K106">
        <f t="shared" si="21"/>
        <v>0</v>
      </c>
      <c r="L106">
        <f t="shared" si="22"/>
        <v>1.8697335339617864</v>
      </c>
      <c r="M106">
        <f t="shared" si="23"/>
        <v>1.1302664660382136</v>
      </c>
    </row>
    <row r="107" spans="2:13" x14ac:dyDescent="0.25">
      <c r="B107" s="3">
        <f t="shared" si="30"/>
        <v>0.53366666666666585</v>
      </c>
      <c r="C107" s="3">
        <f t="shared" si="31"/>
        <v>0.86566666666666614</v>
      </c>
      <c r="D107" s="1">
        <f t="shared" si="32"/>
        <v>1.6373372789688341</v>
      </c>
      <c r="E107">
        <f t="shared" si="33"/>
        <v>0.14579245913396269</v>
      </c>
      <c r="F107" s="1">
        <f t="shared" si="34"/>
        <v>1.6373053601319658</v>
      </c>
      <c r="G107" s="1">
        <f t="shared" si="35"/>
        <v>0.14213604862650023</v>
      </c>
      <c r="H107">
        <f t="shared" si="18"/>
        <v>3.1918836868261025E-5</v>
      </c>
      <c r="I107">
        <f t="shared" si="19"/>
        <v>3.6564105074624598E-3</v>
      </c>
      <c r="J107">
        <f t="shared" si="20"/>
        <v>0</v>
      </c>
      <c r="K107">
        <f t="shared" si="21"/>
        <v>0</v>
      </c>
      <c r="L107">
        <f t="shared" si="22"/>
        <v>1.8737923278763664</v>
      </c>
      <c r="M107">
        <f t="shared" si="23"/>
        <v>1.1262076721236336</v>
      </c>
    </row>
    <row r="108" spans="2:13" x14ac:dyDescent="0.25">
      <c r="B108" s="3">
        <f t="shared" si="30"/>
        <v>0.53666666666666585</v>
      </c>
      <c r="C108" s="3">
        <f t="shared" si="31"/>
        <v>0.86866666666666614</v>
      </c>
      <c r="D108" s="1">
        <f t="shared" si="32"/>
        <v>1.6264147094425772</v>
      </c>
      <c r="E108">
        <f t="shared" si="33"/>
        <v>0.14638231688313685</v>
      </c>
      <c r="F108" s="1">
        <f t="shared" si="34"/>
        <v>1.6346966965631855</v>
      </c>
      <c r="G108" s="1">
        <f t="shared" si="35"/>
        <v>0.14332645362645835</v>
      </c>
      <c r="H108">
        <f t="shared" si="18"/>
        <v>-8.2819871206083473E-3</v>
      </c>
      <c r="I108">
        <f t="shared" si="19"/>
        <v>3.0558632566785038E-3</v>
      </c>
      <c r="J108">
        <f t="shared" si="20"/>
        <v>1</v>
      </c>
      <c r="K108">
        <f t="shared" si="21"/>
        <v>0</v>
      </c>
      <c r="L108">
        <f t="shared" si="22"/>
        <v>1.8728425607341816</v>
      </c>
      <c r="M108">
        <f t="shared" si="23"/>
        <v>1.1271574392658181</v>
      </c>
    </row>
    <row r="109" spans="2:13" x14ac:dyDescent="0.25">
      <c r="B109" s="3">
        <f t="shared" si="30"/>
        <v>0.53366666666666585</v>
      </c>
      <c r="C109" s="3">
        <f t="shared" si="31"/>
        <v>0.87166666666666615</v>
      </c>
      <c r="D109" s="1">
        <f t="shared" si="32"/>
        <v>1.6429878748989051</v>
      </c>
      <c r="E109">
        <f t="shared" si="33"/>
        <v>0.14132941196438145</v>
      </c>
      <c r="F109" s="1">
        <f t="shared" si="34"/>
        <v>1.6455998904374569</v>
      </c>
      <c r="G109" s="1">
        <f t="shared" si="35"/>
        <v>0.13836844015326633</v>
      </c>
      <c r="H109">
        <f t="shared" ref="H109:H164" si="36">D109-F109</f>
        <v>-2.6120155385518373E-3</v>
      </c>
      <c r="I109">
        <f t="shared" ref="I109:I164" si="37">E109-G109</f>
        <v>2.9609718111151262E-3</v>
      </c>
      <c r="J109">
        <f t="shared" ref="J109:J164" si="38">IF(H109&lt;0,1,0)</f>
        <v>1</v>
      </c>
      <c r="K109">
        <f t="shared" ref="K109:K164" si="39">IF(I109&lt;0,1,0)</f>
        <v>0</v>
      </c>
      <c r="L109">
        <f t="shared" ref="L109:L164" si="40">F109/(B109*D109)</f>
        <v>1.8768078625710476</v>
      </c>
      <c r="M109">
        <f t="shared" ref="M109:M164" si="41">G109/(C109*E109)</f>
        <v>1.1231921374289524</v>
      </c>
    </row>
    <row r="110" spans="2:13" x14ac:dyDescent="0.25">
      <c r="B110" s="3">
        <f t="shared" si="30"/>
        <v>0.53066666666666584</v>
      </c>
      <c r="C110" s="3">
        <f t="shared" si="31"/>
        <v>0.87466666666666615</v>
      </c>
      <c r="D110" s="1">
        <f t="shared" si="32"/>
        <v>1.6595629151868745</v>
      </c>
      <c r="E110">
        <f t="shared" si="33"/>
        <v>0.13642371913967241</v>
      </c>
      <c r="F110" s="1">
        <f t="shared" si="34"/>
        <v>1.6562626833468181</v>
      </c>
      <c r="G110" s="1">
        <f t="shared" si="35"/>
        <v>0.13356380204348484</v>
      </c>
      <c r="H110">
        <f t="shared" si="36"/>
        <v>3.3002318400563446E-3</v>
      </c>
      <c r="I110">
        <f t="shared" si="37"/>
        <v>2.8599170961875753E-3</v>
      </c>
      <c r="J110">
        <f t="shared" si="38"/>
        <v>0</v>
      </c>
      <c r="K110">
        <f t="shared" si="39"/>
        <v>0</v>
      </c>
      <c r="L110">
        <f t="shared" si="40"/>
        <v>1.8806747203258334</v>
      </c>
      <c r="M110">
        <f t="shared" si="41"/>
        <v>1.1193252796741666</v>
      </c>
    </row>
    <row r="111" spans="2:13" x14ac:dyDescent="0.25">
      <c r="B111" s="3">
        <f t="shared" si="30"/>
        <v>0.53366666666666585</v>
      </c>
      <c r="C111" s="3">
        <f t="shared" si="31"/>
        <v>0.87766666666666615</v>
      </c>
      <c r="D111" s="1">
        <f t="shared" si="32"/>
        <v>1.6484844670191727</v>
      </c>
      <c r="E111">
        <f t="shared" si="33"/>
        <v>0.13702102859943371</v>
      </c>
      <c r="F111" s="1">
        <f t="shared" si="34"/>
        <v>1.6536858081338472</v>
      </c>
      <c r="G111" s="1">
        <f t="shared" si="35"/>
        <v>0.13472096587025884</v>
      </c>
      <c r="H111">
        <f t="shared" si="36"/>
        <v>-5.2013411146745181E-3</v>
      </c>
      <c r="I111">
        <f t="shared" si="37"/>
        <v>2.3000627291748788E-3</v>
      </c>
      <c r="J111">
        <f t="shared" si="38"/>
        <v>1</v>
      </c>
      <c r="K111">
        <f t="shared" si="39"/>
        <v>0</v>
      </c>
      <c r="L111">
        <f t="shared" si="40"/>
        <v>1.879741210565897</v>
      </c>
      <c r="M111">
        <f t="shared" si="41"/>
        <v>1.120258789434103</v>
      </c>
    </row>
    <row r="112" spans="2:13" x14ac:dyDescent="0.25">
      <c r="B112" s="3">
        <f t="shared" si="30"/>
        <v>0.53066666666666584</v>
      </c>
      <c r="C112" s="3">
        <f t="shared" si="31"/>
        <v>0.88066666666666615</v>
      </c>
      <c r="D112" s="1">
        <f t="shared" si="32"/>
        <v>1.664921933367479</v>
      </c>
      <c r="E112">
        <f t="shared" si="33"/>
        <v>0.13226505756206586</v>
      </c>
      <c r="F112" s="1">
        <f t="shared" si="34"/>
        <v>1.664123640840766</v>
      </c>
      <c r="G112" s="1">
        <f t="shared" si="35"/>
        <v>0.13004935027940284</v>
      </c>
      <c r="H112">
        <f t="shared" si="36"/>
        <v>7.9829252671292927E-4</v>
      </c>
      <c r="I112">
        <f t="shared" si="37"/>
        <v>2.2157072826630153E-3</v>
      </c>
      <c r="J112">
        <f t="shared" si="38"/>
        <v>0</v>
      </c>
      <c r="K112">
        <f t="shared" si="39"/>
        <v>0</v>
      </c>
      <c r="L112">
        <f t="shared" si="40"/>
        <v>1.8835185726403407</v>
      </c>
      <c r="M112">
        <f t="shared" si="41"/>
        <v>1.1164814273596593</v>
      </c>
    </row>
    <row r="113" spans="2:13" x14ac:dyDescent="0.25">
      <c r="B113" s="3">
        <f t="shared" si="30"/>
        <v>0.53366666666666585</v>
      </c>
      <c r="C113" s="3">
        <f t="shared" si="31"/>
        <v>0.88366666666666616</v>
      </c>
      <c r="D113" s="1">
        <f t="shared" si="32"/>
        <v>1.6538314047606022</v>
      </c>
      <c r="E113">
        <f t="shared" si="33"/>
        <v>0.13286153186657118</v>
      </c>
      <c r="F113" s="1">
        <f t="shared" si="34"/>
        <v>1.6615680851317842</v>
      </c>
      <c r="G113" s="1">
        <f t="shared" si="35"/>
        <v>0.13118931310282422</v>
      </c>
      <c r="H113">
        <f t="shared" si="36"/>
        <v>-7.7366803711820253E-3</v>
      </c>
      <c r="I113">
        <f t="shared" si="37"/>
        <v>1.6722187637469577E-3</v>
      </c>
      <c r="J113">
        <f t="shared" si="38"/>
        <v>1</v>
      </c>
      <c r="K113">
        <f t="shared" si="39"/>
        <v>0</v>
      </c>
      <c r="L113">
        <f t="shared" si="40"/>
        <v>1.8825946930072399</v>
      </c>
      <c r="M113">
        <f t="shared" si="41"/>
        <v>1.1174053069927601</v>
      </c>
    </row>
    <row r="114" spans="2:13" x14ac:dyDescent="0.25">
      <c r="B114" s="3">
        <f t="shared" ref="B114:B164" si="42">IF(J113=1,B113-$A$42,B113+$A$42)</f>
        <v>0.53066666666666584</v>
      </c>
      <c r="C114" s="3">
        <f t="shared" ref="C114:C164" si="43">IF(K113=1,C113-$A$42,C113+$A$42)</f>
        <v>0.88666666666666616</v>
      </c>
      <c r="D114" s="1">
        <f t="shared" ref="D114:D164" si="44">((B114^(1/($B$1-1))*$B$2)/(B114^($B$1/($B$1-1))+C114^($B$1/($B$1-1))))</f>
        <v>1.6701344596682179</v>
      </c>
      <c r="E114">
        <f t="shared" ref="E114:E164" si="45">((C114^(1/($B$1-1))*$B$2)/(B114^($B$1/($B$1-1))+C114^($B$1/($B$1-1))))</f>
        <v>0.12825035346172989</v>
      </c>
      <c r="F114" s="1">
        <f t="shared" ref="F114:F164" si="46">(B114*D114)^2 + (B114*D114)</f>
        <v>1.6717852322940807</v>
      </c>
      <c r="G114" s="1">
        <f t="shared" ref="G114:G164" si="47">(C114*E114)^2 + (C114*E114)</f>
        <v>0.12664648590501573</v>
      </c>
      <c r="H114">
        <f t="shared" si="36"/>
        <v>-1.6507726258627731E-3</v>
      </c>
      <c r="I114">
        <f t="shared" si="37"/>
        <v>1.6038675567141558E-3</v>
      </c>
      <c r="J114">
        <f t="shared" si="38"/>
        <v>1</v>
      </c>
      <c r="K114">
        <f t="shared" si="39"/>
        <v>0</v>
      </c>
      <c r="L114">
        <f t="shared" si="40"/>
        <v>1.8862846865972662</v>
      </c>
      <c r="M114">
        <f t="shared" si="41"/>
        <v>1.1137153134027338</v>
      </c>
    </row>
    <row r="115" spans="2:13" x14ac:dyDescent="0.25">
      <c r="B115" s="3">
        <f t="shared" si="42"/>
        <v>0.52766666666666584</v>
      </c>
      <c r="C115" s="3">
        <f t="shared" si="43"/>
        <v>0.88966666666666616</v>
      </c>
      <c r="D115" s="1">
        <f t="shared" si="44"/>
        <v>1.6864457675958966</v>
      </c>
      <c r="E115">
        <f t="shared" si="45"/>
        <v>0.12377532779906346</v>
      </c>
      <c r="F115" s="1">
        <f t="shared" si="46"/>
        <v>1.6817697965394567</v>
      </c>
      <c r="G115" s="1">
        <f t="shared" si="47"/>
        <v>0.12224492973372342</v>
      </c>
      <c r="H115">
        <f t="shared" si="36"/>
        <v>4.6759710564399093E-3</v>
      </c>
      <c r="I115">
        <f t="shared" si="37"/>
        <v>1.5303980653400412E-3</v>
      </c>
      <c r="J115">
        <f t="shared" si="38"/>
        <v>0</v>
      </c>
      <c r="K115">
        <f t="shared" si="39"/>
        <v>0</v>
      </c>
      <c r="L115">
        <f t="shared" si="40"/>
        <v>1.8898812167014332</v>
      </c>
      <c r="M115">
        <f t="shared" si="41"/>
        <v>1.1101187832985666</v>
      </c>
    </row>
    <row r="116" spans="2:13" x14ac:dyDescent="0.25">
      <c r="B116" s="3">
        <f t="shared" si="42"/>
        <v>0.53066666666666584</v>
      </c>
      <c r="C116" s="3">
        <f t="shared" si="43"/>
        <v>0.89266666666666616</v>
      </c>
      <c r="D116" s="1">
        <f t="shared" si="44"/>
        <v>1.6752046901066988</v>
      </c>
      <c r="E116">
        <f t="shared" si="45"/>
        <v>0.12437420961543683</v>
      </c>
      <c r="F116" s="1">
        <f t="shared" si="46"/>
        <v>1.67925235312841</v>
      </c>
      <c r="G116" s="1">
        <f t="shared" si="47"/>
        <v>0.12335119759526283</v>
      </c>
      <c r="H116">
        <f t="shared" si="36"/>
        <v>-4.0476630217112231E-3</v>
      </c>
      <c r="I116">
        <f t="shared" si="37"/>
        <v>1.0230120201739912E-3</v>
      </c>
      <c r="J116">
        <f t="shared" si="38"/>
        <v>1</v>
      </c>
      <c r="K116">
        <f t="shared" si="39"/>
        <v>0</v>
      </c>
      <c r="L116">
        <f t="shared" si="40"/>
        <v>1.8889752888832867</v>
      </c>
      <c r="M116">
        <f t="shared" si="41"/>
        <v>1.1110247111167133</v>
      </c>
    </row>
    <row r="117" spans="2:13" x14ac:dyDescent="0.25">
      <c r="B117" s="3">
        <f t="shared" si="42"/>
        <v>0.52766666666666584</v>
      </c>
      <c r="C117" s="3">
        <f t="shared" si="43"/>
        <v>0.89566666666666617</v>
      </c>
      <c r="D117" s="1">
        <f t="shared" si="44"/>
        <v>1.6913866299056224</v>
      </c>
      <c r="E117">
        <f t="shared" si="45"/>
        <v>0.12003534233695734</v>
      </c>
      <c r="F117" s="1">
        <f t="shared" si="46"/>
        <v>1.6890237910913579</v>
      </c>
      <c r="G117" s="1">
        <f t="shared" si="47"/>
        <v>0.11907041090389664</v>
      </c>
      <c r="H117">
        <f t="shared" si="36"/>
        <v>2.3628388142644674E-3</v>
      </c>
      <c r="I117">
        <f t="shared" si="37"/>
        <v>9.6493143306070062E-4</v>
      </c>
      <c r="J117">
        <f t="shared" si="38"/>
        <v>0</v>
      </c>
      <c r="K117">
        <f t="shared" si="39"/>
        <v>0</v>
      </c>
      <c r="L117">
        <f t="shared" si="40"/>
        <v>1.8924883450468653</v>
      </c>
      <c r="M117">
        <f t="shared" si="41"/>
        <v>1.1075116549531347</v>
      </c>
    </row>
    <row r="118" spans="2:13" x14ac:dyDescent="0.25">
      <c r="B118" s="3">
        <f t="shared" si="42"/>
        <v>0.53066666666666584</v>
      </c>
      <c r="C118" s="3">
        <f t="shared" si="43"/>
        <v>0.89866666666666617</v>
      </c>
      <c r="D118" s="1">
        <f t="shared" si="44"/>
        <v>1.6801367130720926</v>
      </c>
      <c r="E118">
        <f t="shared" si="45"/>
        <v>0.12063143649452267</v>
      </c>
      <c r="F118" s="1">
        <f t="shared" si="46"/>
        <v>1.6865298226278522</v>
      </c>
      <c r="G118" s="1">
        <f t="shared" si="47"/>
        <v>0.12015962634682924</v>
      </c>
      <c r="H118">
        <f t="shared" si="36"/>
        <v>-6.3931095557596684E-3</v>
      </c>
      <c r="I118">
        <f t="shared" si="37"/>
        <v>4.7181014769342999E-4</v>
      </c>
      <c r="J118">
        <f t="shared" si="38"/>
        <v>1</v>
      </c>
      <c r="K118">
        <f t="shared" si="39"/>
        <v>0</v>
      </c>
      <c r="L118">
        <f t="shared" si="40"/>
        <v>1.8915925490702559</v>
      </c>
      <c r="M118">
        <f t="shared" si="41"/>
        <v>1.1084074509297444</v>
      </c>
    </row>
    <row r="119" spans="2:13" x14ac:dyDescent="0.25">
      <c r="B119" s="3">
        <f t="shared" si="42"/>
        <v>0.52766666666666584</v>
      </c>
      <c r="C119" s="3">
        <f t="shared" si="43"/>
        <v>0.90166666666666617</v>
      </c>
      <c r="D119" s="1">
        <f t="shared" si="44"/>
        <v>1.6961923510795403</v>
      </c>
      <c r="E119">
        <f t="shared" si="45"/>
        <v>0.1164242174643596</v>
      </c>
      <c r="F119" s="1">
        <f t="shared" si="46"/>
        <v>1.6960924179196795</v>
      </c>
      <c r="G119" s="1">
        <f t="shared" si="47"/>
        <v>0.11599576224113568</v>
      </c>
      <c r="H119">
        <f t="shared" si="36"/>
        <v>9.9933159860787768E-5</v>
      </c>
      <c r="I119">
        <f t="shared" si="37"/>
        <v>4.2845522322391971E-4</v>
      </c>
      <c r="J119">
        <f t="shared" si="38"/>
        <v>0</v>
      </c>
      <c r="K119">
        <f t="shared" si="39"/>
        <v>0</v>
      </c>
      <c r="L119">
        <f t="shared" si="40"/>
        <v>1.8950241639196359</v>
      </c>
      <c r="M119">
        <f t="shared" si="41"/>
        <v>1.1049758360803641</v>
      </c>
    </row>
    <row r="120" spans="2:13" x14ac:dyDescent="0.25">
      <c r="B120" s="3">
        <f t="shared" si="42"/>
        <v>0.53066666666666584</v>
      </c>
      <c r="C120" s="3">
        <f t="shared" si="43"/>
        <v>0.90466666666666617</v>
      </c>
      <c r="D120" s="1">
        <f t="shared" si="44"/>
        <v>1.6849345103889</v>
      </c>
      <c r="E120">
        <f t="shared" si="45"/>
        <v>0.1170170447534546</v>
      </c>
      <c r="F120" s="1">
        <f t="shared" si="46"/>
        <v>1.6936223807454924</v>
      </c>
      <c r="G120" s="1">
        <f t="shared" si="47"/>
        <v>0.11706806002665995</v>
      </c>
      <c r="H120">
        <f t="shared" si="36"/>
        <v>-8.6878703565924642E-3</v>
      </c>
      <c r="I120">
        <f t="shared" si="37"/>
        <v>-5.101527320534871E-5</v>
      </c>
      <c r="J120">
        <f t="shared" si="38"/>
        <v>1</v>
      </c>
      <c r="K120">
        <f t="shared" si="39"/>
        <v>1</v>
      </c>
      <c r="L120">
        <f t="shared" si="40"/>
        <v>1.8941385801797079</v>
      </c>
      <c r="M120">
        <f t="shared" si="41"/>
        <v>1.1058614198202918</v>
      </c>
    </row>
    <row r="121" spans="2:13" x14ac:dyDescent="0.25">
      <c r="B121" s="3">
        <f t="shared" si="42"/>
        <v>0.52766666666666584</v>
      </c>
      <c r="C121" s="3">
        <f t="shared" si="43"/>
        <v>0.90166666666666617</v>
      </c>
      <c r="D121" s="1">
        <f t="shared" si="44"/>
        <v>1.6961923510795403</v>
      </c>
      <c r="E121">
        <f t="shared" si="45"/>
        <v>0.1164242174643596</v>
      </c>
      <c r="F121" s="1">
        <f t="shared" si="46"/>
        <v>1.6960924179196795</v>
      </c>
      <c r="G121" s="1">
        <f t="shared" si="47"/>
        <v>0.11599576224113568</v>
      </c>
      <c r="H121">
        <f t="shared" si="36"/>
        <v>9.9933159860787768E-5</v>
      </c>
      <c r="I121">
        <f t="shared" si="37"/>
        <v>4.2845522322391971E-4</v>
      </c>
      <c r="J121">
        <f t="shared" si="38"/>
        <v>0</v>
      </c>
      <c r="K121">
        <f t="shared" si="39"/>
        <v>0</v>
      </c>
      <c r="L121">
        <f t="shared" si="40"/>
        <v>1.8950241639196359</v>
      </c>
      <c r="M121">
        <f t="shared" si="41"/>
        <v>1.1049758360803641</v>
      </c>
    </row>
    <row r="122" spans="2:13" x14ac:dyDescent="0.25">
      <c r="B122" s="3">
        <f t="shared" si="42"/>
        <v>0.53066666666666584</v>
      </c>
      <c r="C122" s="3">
        <f t="shared" si="43"/>
        <v>0.90466666666666617</v>
      </c>
      <c r="D122" s="1">
        <f t="shared" si="44"/>
        <v>1.6849345103889</v>
      </c>
      <c r="E122">
        <f t="shared" si="45"/>
        <v>0.1170170447534546</v>
      </c>
      <c r="F122" s="1">
        <f t="shared" si="46"/>
        <v>1.6936223807454924</v>
      </c>
      <c r="G122" s="1">
        <f t="shared" si="47"/>
        <v>0.11706806002665995</v>
      </c>
      <c r="H122">
        <f t="shared" si="36"/>
        <v>-8.6878703565924642E-3</v>
      </c>
      <c r="I122">
        <f t="shared" si="37"/>
        <v>-5.101527320534871E-5</v>
      </c>
      <c r="J122">
        <f t="shared" si="38"/>
        <v>1</v>
      </c>
      <c r="K122">
        <f t="shared" si="39"/>
        <v>1</v>
      </c>
      <c r="L122">
        <f t="shared" si="40"/>
        <v>1.8941385801797079</v>
      </c>
      <c r="M122">
        <f t="shared" si="41"/>
        <v>1.1058614198202918</v>
      </c>
    </row>
    <row r="123" spans="2:13" x14ac:dyDescent="0.25">
      <c r="B123" s="3">
        <f t="shared" si="42"/>
        <v>0.52766666666666584</v>
      </c>
      <c r="C123" s="3">
        <f t="shared" si="43"/>
        <v>0.90166666666666617</v>
      </c>
      <c r="D123" s="1">
        <f t="shared" si="44"/>
        <v>1.6961923510795403</v>
      </c>
      <c r="E123">
        <f t="shared" si="45"/>
        <v>0.1164242174643596</v>
      </c>
      <c r="F123" s="1">
        <f t="shared" si="46"/>
        <v>1.6960924179196795</v>
      </c>
      <c r="G123" s="1">
        <f t="shared" si="47"/>
        <v>0.11599576224113568</v>
      </c>
      <c r="H123">
        <f t="shared" si="36"/>
        <v>9.9933159860787768E-5</v>
      </c>
      <c r="I123">
        <f t="shared" si="37"/>
        <v>4.2845522322391971E-4</v>
      </c>
      <c r="J123">
        <f t="shared" si="38"/>
        <v>0</v>
      </c>
      <c r="K123">
        <f t="shared" si="39"/>
        <v>0</v>
      </c>
      <c r="L123">
        <f t="shared" si="40"/>
        <v>1.8950241639196359</v>
      </c>
      <c r="M123">
        <f t="shared" si="41"/>
        <v>1.1049758360803641</v>
      </c>
    </row>
    <row r="124" spans="2:13" x14ac:dyDescent="0.25">
      <c r="B124" s="3">
        <f t="shared" si="42"/>
        <v>0.53066666666666584</v>
      </c>
      <c r="C124" s="3">
        <f t="shared" si="43"/>
        <v>0.90466666666666617</v>
      </c>
      <c r="D124" s="1">
        <f t="shared" si="44"/>
        <v>1.6849345103889</v>
      </c>
      <c r="E124">
        <f t="shared" si="45"/>
        <v>0.1170170447534546</v>
      </c>
      <c r="F124" s="1">
        <f t="shared" si="46"/>
        <v>1.6936223807454924</v>
      </c>
      <c r="G124" s="1">
        <f t="shared" si="47"/>
        <v>0.11706806002665995</v>
      </c>
      <c r="H124">
        <f t="shared" si="36"/>
        <v>-8.6878703565924642E-3</v>
      </c>
      <c r="I124">
        <f t="shared" si="37"/>
        <v>-5.101527320534871E-5</v>
      </c>
      <c r="J124">
        <f t="shared" si="38"/>
        <v>1</v>
      </c>
      <c r="K124">
        <f t="shared" si="39"/>
        <v>1</v>
      </c>
      <c r="L124">
        <f t="shared" si="40"/>
        <v>1.8941385801797079</v>
      </c>
      <c r="M124">
        <f t="shared" si="41"/>
        <v>1.1058614198202918</v>
      </c>
    </row>
    <row r="125" spans="2:13" x14ac:dyDescent="0.25">
      <c r="B125" s="3">
        <f t="shared" si="42"/>
        <v>0.52766666666666584</v>
      </c>
      <c r="C125" s="3">
        <f t="shared" si="43"/>
        <v>0.90166666666666617</v>
      </c>
      <c r="D125" s="1">
        <f t="shared" si="44"/>
        <v>1.6961923510795403</v>
      </c>
      <c r="E125">
        <f t="shared" si="45"/>
        <v>0.1164242174643596</v>
      </c>
      <c r="F125" s="1">
        <f t="shared" si="46"/>
        <v>1.6960924179196795</v>
      </c>
      <c r="G125" s="1">
        <f t="shared" si="47"/>
        <v>0.11599576224113568</v>
      </c>
      <c r="H125">
        <f t="shared" si="36"/>
        <v>9.9933159860787768E-5</v>
      </c>
      <c r="I125">
        <f t="shared" si="37"/>
        <v>4.2845522322391971E-4</v>
      </c>
      <c r="J125">
        <f t="shared" si="38"/>
        <v>0</v>
      </c>
      <c r="K125">
        <f t="shared" si="39"/>
        <v>0</v>
      </c>
      <c r="L125">
        <f t="shared" si="40"/>
        <v>1.8950241639196359</v>
      </c>
      <c r="M125">
        <f t="shared" si="41"/>
        <v>1.1049758360803641</v>
      </c>
    </row>
    <row r="126" spans="2:13" x14ac:dyDescent="0.25">
      <c r="B126" s="3">
        <f t="shared" si="42"/>
        <v>0.53066666666666584</v>
      </c>
      <c r="C126" s="3">
        <f t="shared" si="43"/>
        <v>0.90466666666666617</v>
      </c>
      <c r="D126" s="1">
        <f t="shared" si="44"/>
        <v>1.6849345103889</v>
      </c>
      <c r="E126">
        <f t="shared" si="45"/>
        <v>0.1170170447534546</v>
      </c>
      <c r="F126" s="1">
        <f t="shared" si="46"/>
        <v>1.6936223807454924</v>
      </c>
      <c r="G126" s="1">
        <f t="shared" si="47"/>
        <v>0.11706806002665995</v>
      </c>
      <c r="H126">
        <f t="shared" si="36"/>
        <v>-8.6878703565924642E-3</v>
      </c>
      <c r="I126">
        <f t="shared" si="37"/>
        <v>-5.101527320534871E-5</v>
      </c>
      <c r="J126">
        <f t="shared" si="38"/>
        <v>1</v>
      </c>
      <c r="K126">
        <f t="shared" si="39"/>
        <v>1</v>
      </c>
      <c r="L126">
        <f t="shared" si="40"/>
        <v>1.8941385801797079</v>
      </c>
      <c r="M126">
        <f t="shared" si="41"/>
        <v>1.1058614198202918</v>
      </c>
    </row>
    <row r="127" spans="2:13" x14ac:dyDescent="0.25">
      <c r="B127" s="3">
        <f t="shared" si="42"/>
        <v>0.52766666666666584</v>
      </c>
      <c r="C127" s="3">
        <f t="shared" si="43"/>
        <v>0.90166666666666617</v>
      </c>
      <c r="D127" s="1">
        <f t="shared" si="44"/>
        <v>1.6961923510795403</v>
      </c>
      <c r="E127">
        <f t="shared" si="45"/>
        <v>0.1164242174643596</v>
      </c>
      <c r="F127" s="1">
        <f t="shared" si="46"/>
        <v>1.6960924179196795</v>
      </c>
      <c r="G127" s="1">
        <f t="shared" si="47"/>
        <v>0.11599576224113568</v>
      </c>
      <c r="H127">
        <f t="shared" si="36"/>
        <v>9.9933159860787768E-5</v>
      </c>
      <c r="I127">
        <f t="shared" si="37"/>
        <v>4.2845522322391971E-4</v>
      </c>
      <c r="J127">
        <f t="shared" si="38"/>
        <v>0</v>
      </c>
      <c r="K127">
        <f t="shared" si="39"/>
        <v>0</v>
      </c>
      <c r="L127">
        <f t="shared" si="40"/>
        <v>1.8950241639196359</v>
      </c>
      <c r="M127">
        <f t="shared" si="41"/>
        <v>1.1049758360803641</v>
      </c>
    </row>
    <row r="128" spans="2:13" x14ac:dyDescent="0.25">
      <c r="B128" s="3">
        <f t="shared" si="42"/>
        <v>0.53066666666666584</v>
      </c>
      <c r="C128" s="3">
        <f t="shared" si="43"/>
        <v>0.90466666666666617</v>
      </c>
      <c r="D128" s="1">
        <f t="shared" si="44"/>
        <v>1.6849345103889</v>
      </c>
      <c r="E128">
        <f t="shared" si="45"/>
        <v>0.1170170447534546</v>
      </c>
      <c r="F128" s="1">
        <f t="shared" si="46"/>
        <v>1.6936223807454924</v>
      </c>
      <c r="G128" s="1">
        <f t="shared" si="47"/>
        <v>0.11706806002665995</v>
      </c>
      <c r="H128">
        <f t="shared" si="36"/>
        <v>-8.6878703565924642E-3</v>
      </c>
      <c r="I128">
        <f t="shared" si="37"/>
        <v>-5.101527320534871E-5</v>
      </c>
      <c r="J128">
        <f t="shared" si="38"/>
        <v>1</v>
      </c>
      <c r="K128">
        <f t="shared" si="39"/>
        <v>1</v>
      </c>
      <c r="L128">
        <f t="shared" si="40"/>
        <v>1.8941385801797079</v>
      </c>
      <c r="M128">
        <f t="shared" si="41"/>
        <v>1.1058614198202918</v>
      </c>
    </row>
    <row r="129" spans="2:13" x14ac:dyDescent="0.25">
      <c r="B129" s="3">
        <f t="shared" si="42"/>
        <v>0.52766666666666584</v>
      </c>
      <c r="C129" s="3">
        <f t="shared" si="43"/>
        <v>0.90166666666666617</v>
      </c>
      <c r="D129" s="1">
        <f t="shared" si="44"/>
        <v>1.6961923510795403</v>
      </c>
      <c r="E129">
        <f t="shared" si="45"/>
        <v>0.1164242174643596</v>
      </c>
      <c r="F129" s="1">
        <f t="shared" si="46"/>
        <v>1.6960924179196795</v>
      </c>
      <c r="G129" s="1">
        <f t="shared" si="47"/>
        <v>0.11599576224113568</v>
      </c>
      <c r="H129">
        <f t="shared" si="36"/>
        <v>9.9933159860787768E-5</v>
      </c>
      <c r="I129">
        <f t="shared" si="37"/>
        <v>4.2845522322391971E-4</v>
      </c>
      <c r="J129">
        <f t="shared" si="38"/>
        <v>0</v>
      </c>
      <c r="K129">
        <f t="shared" si="39"/>
        <v>0</v>
      </c>
      <c r="L129">
        <f t="shared" si="40"/>
        <v>1.8950241639196359</v>
      </c>
      <c r="M129">
        <f t="shared" si="41"/>
        <v>1.1049758360803641</v>
      </c>
    </row>
    <row r="130" spans="2:13" x14ac:dyDescent="0.25">
      <c r="B130" s="3">
        <f t="shared" si="42"/>
        <v>0.53066666666666584</v>
      </c>
      <c r="C130" s="3">
        <f t="shared" si="43"/>
        <v>0.90466666666666617</v>
      </c>
      <c r="D130" s="1">
        <f t="shared" si="44"/>
        <v>1.6849345103889</v>
      </c>
      <c r="E130">
        <f t="shared" si="45"/>
        <v>0.1170170447534546</v>
      </c>
      <c r="F130" s="1">
        <f t="shared" si="46"/>
        <v>1.6936223807454924</v>
      </c>
      <c r="G130" s="1">
        <f t="shared" si="47"/>
        <v>0.11706806002665995</v>
      </c>
      <c r="H130">
        <f t="shared" si="36"/>
        <v>-8.6878703565924642E-3</v>
      </c>
      <c r="I130">
        <f t="shared" si="37"/>
        <v>-5.101527320534871E-5</v>
      </c>
      <c r="J130">
        <f t="shared" si="38"/>
        <v>1</v>
      </c>
      <c r="K130">
        <f t="shared" si="39"/>
        <v>1</v>
      </c>
      <c r="L130">
        <f t="shared" si="40"/>
        <v>1.8941385801797079</v>
      </c>
      <c r="M130">
        <f t="shared" si="41"/>
        <v>1.1058614198202918</v>
      </c>
    </row>
    <row r="131" spans="2:13" x14ac:dyDescent="0.25">
      <c r="B131" s="3">
        <f t="shared" si="42"/>
        <v>0.52766666666666584</v>
      </c>
      <c r="C131" s="3">
        <f t="shared" si="43"/>
        <v>0.90166666666666617</v>
      </c>
      <c r="D131" s="1">
        <f t="shared" si="44"/>
        <v>1.6961923510795403</v>
      </c>
      <c r="E131">
        <f t="shared" si="45"/>
        <v>0.1164242174643596</v>
      </c>
      <c r="F131" s="1">
        <f t="shared" si="46"/>
        <v>1.6960924179196795</v>
      </c>
      <c r="G131" s="1">
        <f t="shared" si="47"/>
        <v>0.11599576224113568</v>
      </c>
      <c r="H131">
        <f t="shared" si="36"/>
        <v>9.9933159860787768E-5</v>
      </c>
      <c r="I131">
        <f t="shared" si="37"/>
        <v>4.2845522322391971E-4</v>
      </c>
      <c r="J131">
        <f t="shared" si="38"/>
        <v>0</v>
      </c>
      <c r="K131">
        <f t="shared" si="39"/>
        <v>0</v>
      </c>
      <c r="L131">
        <f t="shared" si="40"/>
        <v>1.8950241639196359</v>
      </c>
      <c r="M131">
        <f t="shared" si="41"/>
        <v>1.1049758360803641</v>
      </c>
    </row>
    <row r="132" spans="2:13" x14ac:dyDescent="0.25">
      <c r="B132" s="3">
        <f t="shared" si="42"/>
        <v>0.53066666666666584</v>
      </c>
      <c r="C132" s="3">
        <f t="shared" si="43"/>
        <v>0.90466666666666617</v>
      </c>
      <c r="D132" s="1">
        <f t="shared" si="44"/>
        <v>1.6849345103889</v>
      </c>
      <c r="E132">
        <f t="shared" si="45"/>
        <v>0.1170170447534546</v>
      </c>
      <c r="F132" s="1">
        <f t="shared" si="46"/>
        <v>1.6936223807454924</v>
      </c>
      <c r="G132" s="1">
        <f t="shared" si="47"/>
        <v>0.11706806002665995</v>
      </c>
      <c r="H132">
        <f t="shared" si="36"/>
        <v>-8.6878703565924642E-3</v>
      </c>
      <c r="I132">
        <f t="shared" si="37"/>
        <v>-5.101527320534871E-5</v>
      </c>
      <c r="J132">
        <f t="shared" si="38"/>
        <v>1</v>
      </c>
      <c r="K132">
        <f t="shared" si="39"/>
        <v>1</v>
      </c>
      <c r="L132">
        <f t="shared" si="40"/>
        <v>1.8941385801797079</v>
      </c>
      <c r="M132">
        <f t="shared" si="41"/>
        <v>1.1058614198202918</v>
      </c>
    </row>
    <row r="133" spans="2:13" x14ac:dyDescent="0.25">
      <c r="B133" s="3">
        <f t="shared" si="42"/>
        <v>0.52766666666666584</v>
      </c>
      <c r="C133" s="3">
        <f t="shared" si="43"/>
        <v>0.90166666666666617</v>
      </c>
      <c r="D133" s="1">
        <f t="shared" si="44"/>
        <v>1.6961923510795403</v>
      </c>
      <c r="E133">
        <f t="shared" si="45"/>
        <v>0.1164242174643596</v>
      </c>
      <c r="F133" s="1">
        <f t="shared" si="46"/>
        <v>1.6960924179196795</v>
      </c>
      <c r="G133" s="1">
        <f t="shared" si="47"/>
        <v>0.11599576224113568</v>
      </c>
      <c r="H133">
        <f t="shared" si="36"/>
        <v>9.9933159860787768E-5</v>
      </c>
      <c r="I133">
        <f t="shared" si="37"/>
        <v>4.2845522322391971E-4</v>
      </c>
      <c r="J133">
        <f t="shared" si="38"/>
        <v>0</v>
      </c>
      <c r="K133">
        <f t="shared" si="39"/>
        <v>0</v>
      </c>
      <c r="L133">
        <f t="shared" si="40"/>
        <v>1.8950241639196359</v>
      </c>
      <c r="M133">
        <f t="shared" si="41"/>
        <v>1.1049758360803641</v>
      </c>
    </row>
    <row r="134" spans="2:13" x14ac:dyDescent="0.25">
      <c r="B134" s="3">
        <f t="shared" si="42"/>
        <v>0.53066666666666584</v>
      </c>
      <c r="C134" s="3">
        <f t="shared" si="43"/>
        <v>0.90466666666666617</v>
      </c>
      <c r="D134" s="1">
        <f t="shared" si="44"/>
        <v>1.6849345103889</v>
      </c>
      <c r="E134">
        <f t="shared" si="45"/>
        <v>0.1170170447534546</v>
      </c>
      <c r="F134" s="1">
        <f t="shared" si="46"/>
        <v>1.6936223807454924</v>
      </c>
      <c r="G134" s="1">
        <f t="shared" si="47"/>
        <v>0.11706806002665995</v>
      </c>
      <c r="H134">
        <f t="shared" si="36"/>
        <v>-8.6878703565924642E-3</v>
      </c>
      <c r="I134">
        <f t="shared" si="37"/>
        <v>-5.101527320534871E-5</v>
      </c>
      <c r="J134">
        <f t="shared" si="38"/>
        <v>1</v>
      </c>
      <c r="K134">
        <f t="shared" si="39"/>
        <v>1</v>
      </c>
      <c r="L134">
        <f t="shared" si="40"/>
        <v>1.8941385801797079</v>
      </c>
      <c r="M134">
        <f t="shared" si="41"/>
        <v>1.1058614198202918</v>
      </c>
    </row>
    <row r="135" spans="2:13" x14ac:dyDescent="0.25">
      <c r="B135" s="3">
        <f t="shared" si="42"/>
        <v>0.52766666666666584</v>
      </c>
      <c r="C135" s="3">
        <f t="shared" si="43"/>
        <v>0.90166666666666617</v>
      </c>
      <c r="D135" s="1">
        <f t="shared" si="44"/>
        <v>1.6961923510795403</v>
      </c>
      <c r="E135">
        <f t="shared" si="45"/>
        <v>0.1164242174643596</v>
      </c>
      <c r="F135" s="1">
        <f t="shared" si="46"/>
        <v>1.6960924179196795</v>
      </c>
      <c r="G135" s="1">
        <f t="shared" si="47"/>
        <v>0.11599576224113568</v>
      </c>
      <c r="H135">
        <f t="shared" si="36"/>
        <v>9.9933159860787768E-5</v>
      </c>
      <c r="I135">
        <f t="shared" si="37"/>
        <v>4.2845522322391971E-4</v>
      </c>
      <c r="J135">
        <f t="shared" si="38"/>
        <v>0</v>
      </c>
      <c r="K135">
        <f t="shared" si="39"/>
        <v>0</v>
      </c>
      <c r="L135">
        <f t="shared" si="40"/>
        <v>1.8950241639196359</v>
      </c>
      <c r="M135">
        <f t="shared" si="41"/>
        <v>1.1049758360803641</v>
      </c>
    </row>
    <row r="136" spans="2:13" x14ac:dyDescent="0.25">
      <c r="B136" s="3">
        <f t="shared" si="42"/>
        <v>0.53066666666666584</v>
      </c>
      <c r="C136" s="3">
        <f t="shared" si="43"/>
        <v>0.90466666666666617</v>
      </c>
      <c r="D136" s="1">
        <f t="shared" si="44"/>
        <v>1.6849345103889</v>
      </c>
      <c r="E136">
        <f t="shared" si="45"/>
        <v>0.1170170447534546</v>
      </c>
      <c r="F136" s="1">
        <f t="shared" si="46"/>
        <v>1.6936223807454924</v>
      </c>
      <c r="G136" s="1">
        <f t="shared" si="47"/>
        <v>0.11706806002665995</v>
      </c>
      <c r="H136">
        <f t="shared" si="36"/>
        <v>-8.6878703565924642E-3</v>
      </c>
      <c r="I136">
        <f t="shared" si="37"/>
        <v>-5.101527320534871E-5</v>
      </c>
      <c r="J136">
        <f t="shared" si="38"/>
        <v>1</v>
      </c>
      <c r="K136">
        <f t="shared" si="39"/>
        <v>1</v>
      </c>
      <c r="L136">
        <f t="shared" si="40"/>
        <v>1.8941385801797079</v>
      </c>
      <c r="M136">
        <f t="shared" si="41"/>
        <v>1.1058614198202918</v>
      </c>
    </row>
    <row r="137" spans="2:13" x14ac:dyDescent="0.25">
      <c r="B137" s="3">
        <f t="shared" si="42"/>
        <v>0.52766666666666584</v>
      </c>
      <c r="C137" s="3">
        <f t="shared" si="43"/>
        <v>0.90166666666666617</v>
      </c>
      <c r="D137" s="1">
        <f t="shared" si="44"/>
        <v>1.6961923510795403</v>
      </c>
      <c r="E137">
        <f t="shared" si="45"/>
        <v>0.1164242174643596</v>
      </c>
      <c r="F137" s="1">
        <f t="shared" si="46"/>
        <v>1.6960924179196795</v>
      </c>
      <c r="G137" s="1">
        <f t="shared" si="47"/>
        <v>0.11599576224113568</v>
      </c>
      <c r="H137">
        <f t="shared" si="36"/>
        <v>9.9933159860787768E-5</v>
      </c>
      <c r="I137">
        <f t="shared" si="37"/>
        <v>4.2845522322391971E-4</v>
      </c>
      <c r="J137">
        <f t="shared" si="38"/>
        <v>0</v>
      </c>
      <c r="K137">
        <f t="shared" si="39"/>
        <v>0</v>
      </c>
      <c r="L137">
        <f t="shared" si="40"/>
        <v>1.8950241639196359</v>
      </c>
      <c r="M137">
        <f t="shared" si="41"/>
        <v>1.1049758360803641</v>
      </c>
    </row>
    <row r="138" spans="2:13" x14ac:dyDescent="0.25">
      <c r="B138" s="3">
        <f t="shared" si="42"/>
        <v>0.53066666666666584</v>
      </c>
      <c r="C138" s="3">
        <f t="shared" si="43"/>
        <v>0.90466666666666617</v>
      </c>
      <c r="D138" s="1">
        <f t="shared" si="44"/>
        <v>1.6849345103889</v>
      </c>
      <c r="E138">
        <f t="shared" si="45"/>
        <v>0.1170170447534546</v>
      </c>
      <c r="F138" s="1">
        <f t="shared" si="46"/>
        <v>1.6936223807454924</v>
      </c>
      <c r="G138" s="1">
        <f t="shared" si="47"/>
        <v>0.11706806002665995</v>
      </c>
      <c r="H138">
        <f t="shared" si="36"/>
        <v>-8.6878703565924642E-3</v>
      </c>
      <c r="I138">
        <f t="shared" si="37"/>
        <v>-5.101527320534871E-5</v>
      </c>
      <c r="J138">
        <f t="shared" si="38"/>
        <v>1</v>
      </c>
      <c r="K138">
        <f t="shared" si="39"/>
        <v>1</v>
      </c>
      <c r="L138">
        <f t="shared" si="40"/>
        <v>1.8941385801797079</v>
      </c>
      <c r="M138">
        <f t="shared" si="41"/>
        <v>1.1058614198202918</v>
      </c>
    </row>
    <row r="139" spans="2:13" x14ac:dyDescent="0.25">
      <c r="B139" s="3">
        <f t="shared" si="42"/>
        <v>0.52766666666666584</v>
      </c>
      <c r="C139" s="3">
        <f t="shared" si="43"/>
        <v>0.90166666666666617</v>
      </c>
      <c r="D139" s="1">
        <f t="shared" si="44"/>
        <v>1.6961923510795403</v>
      </c>
      <c r="E139">
        <f t="shared" si="45"/>
        <v>0.1164242174643596</v>
      </c>
      <c r="F139" s="1">
        <f t="shared" si="46"/>
        <v>1.6960924179196795</v>
      </c>
      <c r="G139" s="1">
        <f t="shared" si="47"/>
        <v>0.11599576224113568</v>
      </c>
      <c r="H139">
        <f t="shared" si="36"/>
        <v>9.9933159860787768E-5</v>
      </c>
      <c r="I139">
        <f t="shared" si="37"/>
        <v>4.2845522322391971E-4</v>
      </c>
      <c r="J139">
        <f t="shared" si="38"/>
        <v>0</v>
      </c>
      <c r="K139">
        <f t="shared" si="39"/>
        <v>0</v>
      </c>
      <c r="L139">
        <f t="shared" si="40"/>
        <v>1.8950241639196359</v>
      </c>
      <c r="M139">
        <f t="shared" si="41"/>
        <v>1.1049758360803641</v>
      </c>
    </row>
    <row r="140" spans="2:13" x14ac:dyDescent="0.25">
      <c r="B140" s="3">
        <f t="shared" si="42"/>
        <v>0.53066666666666584</v>
      </c>
      <c r="C140" s="3">
        <f t="shared" si="43"/>
        <v>0.90466666666666617</v>
      </c>
      <c r="D140" s="1">
        <f t="shared" si="44"/>
        <v>1.6849345103889</v>
      </c>
      <c r="E140">
        <f t="shared" si="45"/>
        <v>0.1170170447534546</v>
      </c>
      <c r="F140" s="1">
        <f t="shared" si="46"/>
        <v>1.6936223807454924</v>
      </c>
      <c r="G140" s="1">
        <f t="shared" si="47"/>
        <v>0.11706806002665995</v>
      </c>
      <c r="H140">
        <f t="shared" si="36"/>
        <v>-8.6878703565924642E-3</v>
      </c>
      <c r="I140">
        <f t="shared" si="37"/>
        <v>-5.101527320534871E-5</v>
      </c>
      <c r="J140">
        <f t="shared" si="38"/>
        <v>1</v>
      </c>
      <c r="K140">
        <f t="shared" si="39"/>
        <v>1</v>
      </c>
      <c r="L140">
        <f t="shared" si="40"/>
        <v>1.8941385801797079</v>
      </c>
      <c r="M140">
        <f t="shared" si="41"/>
        <v>1.1058614198202918</v>
      </c>
    </row>
    <row r="141" spans="2:13" x14ac:dyDescent="0.25">
      <c r="B141" s="3">
        <f t="shared" si="42"/>
        <v>0.52766666666666584</v>
      </c>
      <c r="C141" s="3">
        <f t="shared" si="43"/>
        <v>0.90166666666666617</v>
      </c>
      <c r="D141" s="1">
        <f t="shared" si="44"/>
        <v>1.6961923510795403</v>
      </c>
      <c r="E141">
        <f t="shared" si="45"/>
        <v>0.1164242174643596</v>
      </c>
      <c r="F141" s="1">
        <f t="shared" si="46"/>
        <v>1.6960924179196795</v>
      </c>
      <c r="G141" s="1">
        <f t="shared" si="47"/>
        <v>0.11599576224113568</v>
      </c>
      <c r="H141">
        <f t="shared" si="36"/>
        <v>9.9933159860787768E-5</v>
      </c>
      <c r="I141">
        <f t="shared" si="37"/>
        <v>4.2845522322391971E-4</v>
      </c>
      <c r="J141">
        <f t="shared" si="38"/>
        <v>0</v>
      </c>
      <c r="K141">
        <f t="shared" si="39"/>
        <v>0</v>
      </c>
      <c r="L141">
        <f t="shared" si="40"/>
        <v>1.8950241639196359</v>
      </c>
      <c r="M141">
        <f t="shared" si="41"/>
        <v>1.1049758360803641</v>
      </c>
    </row>
    <row r="142" spans="2:13" x14ac:dyDescent="0.25">
      <c r="B142" s="3">
        <f t="shared" si="42"/>
        <v>0.53066666666666584</v>
      </c>
      <c r="C142" s="3">
        <f t="shared" si="43"/>
        <v>0.90466666666666617</v>
      </c>
      <c r="D142" s="1">
        <f t="shared" si="44"/>
        <v>1.6849345103889</v>
      </c>
      <c r="E142">
        <f t="shared" si="45"/>
        <v>0.1170170447534546</v>
      </c>
      <c r="F142" s="1">
        <f t="shared" si="46"/>
        <v>1.6936223807454924</v>
      </c>
      <c r="G142" s="1">
        <f t="shared" si="47"/>
        <v>0.11706806002665995</v>
      </c>
      <c r="H142">
        <f t="shared" si="36"/>
        <v>-8.6878703565924642E-3</v>
      </c>
      <c r="I142">
        <f t="shared" si="37"/>
        <v>-5.101527320534871E-5</v>
      </c>
      <c r="J142">
        <f t="shared" si="38"/>
        <v>1</v>
      </c>
      <c r="K142">
        <f t="shared" si="39"/>
        <v>1</v>
      </c>
      <c r="L142">
        <f t="shared" si="40"/>
        <v>1.8941385801797079</v>
      </c>
      <c r="M142">
        <f t="shared" si="41"/>
        <v>1.1058614198202918</v>
      </c>
    </row>
    <row r="143" spans="2:13" x14ac:dyDescent="0.25">
      <c r="B143" s="3">
        <f t="shared" si="42"/>
        <v>0.52766666666666584</v>
      </c>
      <c r="C143" s="3">
        <f t="shared" si="43"/>
        <v>0.90166666666666617</v>
      </c>
      <c r="D143" s="1">
        <f t="shared" si="44"/>
        <v>1.6961923510795403</v>
      </c>
      <c r="E143">
        <f t="shared" si="45"/>
        <v>0.1164242174643596</v>
      </c>
      <c r="F143" s="1">
        <f t="shared" si="46"/>
        <v>1.6960924179196795</v>
      </c>
      <c r="G143" s="1">
        <f t="shared" si="47"/>
        <v>0.11599576224113568</v>
      </c>
      <c r="H143">
        <f t="shared" si="36"/>
        <v>9.9933159860787768E-5</v>
      </c>
      <c r="I143">
        <f t="shared" si="37"/>
        <v>4.2845522322391971E-4</v>
      </c>
      <c r="J143">
        <f t="shared" si="38"/>
        <v>0</v>
      </c>
      <c r="K143">
        <f t="shared" si="39"/>
        <v>0</v>
      </c>
      <c r="L143">
        <f t="shared" si="40"/>
        <v>1.8950241639196359</v>
      </c>
      <c r="M143">
        <f t="shared" si="41"/>
        <v>1.1049758360803641</v>
      </c>
    </row>
    <row r="144" spans="2:13" x14ac:dyDescent="0.25">
      <c r="B144" s="3">
        <f t="shared" si="42"/>
        <v>0.53066666666666584</v>
      </c>
      <c r="C144" s="3">
        <f t="shared" si="43"/>
        <v>0.90466666666666617</v>
      </c>
      <c r="D144" s="1">
        <f t="shared" si="44"/>
        <v>1.6849345103889</v>
      </c>
      <c r="E144">
        <f t="shared" si="45"/>
        <v>0.1170170447534546</v>
      </c>
      <c r="F144" s="1">
        <f t="shared" si="46"/>
        <v>1.6936223807454924</v>
      </c>
      <c r="G144" s="1">
        <f t="shared" si="47"/>
        <v>0.11706806002665995</v>
      </c>
      <c r="H144">
        <f t="shared" si="36"/>
        <v>-8.6878703565924642E-3</v>
      </c>
      <c r="I144">
        <f t="shared" si="37"/>
        <v>-5.101527320534871E-5</v>
      </c>
      <c r="J144">
        <f t="shared" si="38"/>
        <v>1</v>
      </c>
      <c r="K144">
        <f t="shared" si="39"/>
        <v>1</v>
      </c>
      <c r="L144">
        <f t="shared" si="40"/>
        <v>1.8941385801797079</v>
      </c>
      <c r="M144">
        <f t="shared" si="41"/>
        <v>1.1058614198202918</v>
      </c>
    </row>
    <row r="145" spans="2:13" x14ac:dyDescent="0.25">
      <c r="B145" s="3">
        <f t="shared" si="42"/>
        <v>0.52766666666666584</v>
      </c>
      <c r="C145" s="3">
        <f t="shared" si="43"/>
        <v>0.90166666666666617</v>
      </c>
      <c r="D145" s="1">
        <f t="shared" si="44"/>
        <v>1.6961923510795403</v>
      </c>
      <c r="E145">
        <f t="shared" si="45"/>
        <v>0.1164242174643596</v>
      </c>
      <c r="F145" s="1">
        <f t="shared" si="46"/>
        <v>1.6960924179196795</v>
      </c>
      <c r="G145" s="1">
        <f t="shared" si="47"/>
        <v>0.11599576224113568</v>
      </c>
      <c r="H145">
        <f t="shared" si="36"/>
        <v>9.9933159860787768E-5</v>
      </c>
      <c r="I145">
        <f t="shared" si="37"/>
        <v>4.2845522322391971E-4</v>
      </c>
      <c r="J145">
        <f t="shared" si="38"/>
        <v>0</v>
      </c>
      <c r="K145">
        <f t="shared" si="39"/>
        <v>0</v>
      </c>
      <c r="L145">
        <f t="shared" si="40"/>
        <v>1.8950241639196359</v>
      </c>
      <c r="M145">
        <f t="shared" si="41"/>
        <v>1.1049758360803641</v>
      </c>
    </row>
    <row r="146" spans="2:13" x14ac:dyDescent="0.25">
      <c r="B146" s="3">
        <f t="shared" si="42"/>
        <v>0.53066666666666584</v>
      </c>
      <c r="C146" s="3">
        <f t="shared" si="43"/>
        <v>0.90466666666666617</v>
      </c>
      <c r="D146" s="1">
        <f t="shared" si="44"/>
        <v>1.6849345103889</v>
      </c>
      <c r="E146">
        <f t="shared" si="45"/>
        <v>0.1170170447534546</v>
      </c>
      <c r="F146" s="1">
        <f t="shared" si="46"/>
        <v>1.6936223807454924</v>
      </c>
      <c r="G146" s="1">
        <f t="shared" si="47"/>
        <v>0.11706806002665995</v>
      </c>
      <c r="H146">
        <f t="shared" si="36"/>
        <v>-8.6878703565924642E-3</v>
      </c>
      <c r="I146">
        <f t="shared" si="37"/>
        <v>-5.101527320534871E-5</v>
      </c>
      <c r="J146">
        <f t="shared" si="38"/>
        <v>1</v>
      </c>
      <c r="K146">
        <f t="shared" si="39"/>
        <v>1</v>
      </c>
      <c r="L146">
        <f t="shared" si="40"/>
        <v>1.8941385801797079</v>
      </c>
      <c r="M146">
        <f t="shared" si="41"/>
        <v>1.1058614198202918</v>
      </c>
    </row>
    <row r="147" spans="2:13" x14ac:dyDescent="0.25">
      <c r="B147" s="3">
        <f t="shared" si="42"/>
        <v>0.52766666666666584</v>
      </c>
      <c r="C147" s="3">
        <f t="shared" si="43"/>
        <v>0.90166666666666617</v>
      </c>
      <c r="D147" s="1">
        <f t="shared" si="44"/>
        <v>1.6961923510795403</v>
      </c>
      <c r="E147">
        <f t="shared" si="45"/>
        <v>0.1164242174643596</v>
      </c>
      <c r="F147" s="1">
        <f t="shared" si="46"/>
        <v>1.6960924179196795</v>
      </c>
      <c r="G147" s="1">
        <f t="shared" si="47"/>
        <v>0.11599576224113568</v>
      </c>
      <c r="H147">
        <f t="shared" si="36"/>
        <v>9.9933159860787768E-5</v>
      </c>
      <c r="I147">
        <f t="shared" si="37"/>
        <v>4.2845522322391971E-4</v>
      </c>
      <c r="J147">
        <f t="shared" si="38"/>
        <v>0</v>
      </c>
      <c r="K147">
        <f t="shared" si="39"/>
        <v>0</v>
      </c>
      <c r="L147">
        <f t="shared" si="40"/>
        <v>1.8950241639196359</v>
      </c>
      <c r="M147">
        <f t="shared" si="41"/>
        <v>1.1049758360803641</v>
      </c>
    </row>
    <row r="148" spans="2:13" x14ac:dyDescent="0.25">
      <c r="B148" s="3">
        <f t="shared" si="42"/>
        <v>0.53066666666666584</v>
      </c>
      <c r="C148" s="3">
        <f t="shared" si="43"/>
        <v>0.90466666666666617</v>
      </c>
      <c r="D148" s="1">
        <f t="shared" si="44"/>
        <v>1.6849345103889</v>
      </c>
      <c r="E148">
        <f t="shared" si="45"/>
        <v>0.1170170447534546</v>
      </c>
      <c r="F148" s="1">
        <f t="shared" si="46"/>
        <v>1.6936223807454924</v>
      </c>
      <c r="G148" s="1">
        <f t="shared" si="47"/>
        <v>0.11706806002665995</v>
      </c>
      <c r="H148">
        <f t="shared" si="36"/>
        <v>-8.6878703565924642E-3</v>
      </c>
      <c r="I148">
        <f t="shared" si="37"/>
        <v>-5.101527320534871E-5</v>
      </c>
      <c r="J148">
        <f t="shared" si="38"/>
        <v>1</v>
      </c>
      <c r="K148">
        <f t="shared" si="39"/>
        <v>1</v>
      </c>
      <c r="L148">
        <f t="shared" si="40"/>
        <v>1.8941385801797079</v>
      </c>
      <c r="M148">
        <f t="shared" si="41"/>
        <v>1.1058614198202918</v>
      </c>
    </row>
    <row r="149" spans="2:13" x14ac:dyDescent="0.25">
      <c r="B149" s="3">
        <f t="shared" si="42"/>
        <v>0.52766666666666584</v>
      </c>
      <c r="C149" s="3">
        <f t="shared" si="43"/>
        <v>0.90166666666666617</v>
      </c>
      <c r="D149" s="1">
        <f t="shared" si="44"/>
        <v>1.6961923510795403</v>
      </c>
      <c r="E149">
        <f t="shared" si="45"/>
        <v>0.1164242174643596</v>
      </c>
      <c r="F149" s="1">
        <f t="shared" si="46"/>
        <v>1.6960924179196795</v>
      </c>
      <c r="G149" s="1">
        <f t="shared" si="47"/>
        <v>0.11599576224113568</v>
      </c>
      <c r="H149">
        <f t="shared" si="36"/>
        <v>9.9933159860787768E-5</v>
      </c>
      <c r="I149">
        <f t="shared" si="37"/>
        <v>4.2845522322391971E-4</v>
      </c>
      <c r="J149">
        <f t="shared" si="38"/>
        <v>0</v>
      </c>
      <c r="K149">
        <f t="shared" si="39"/>
        <v>0</v>
      </c>
      <c r="L149">
        <f t="shared" si="40"/>
        <v>1.8950241639196359</v>
      </c>
      <c r="M149">
        <f t="shared" si="41"/>
        <v>1.1049758360803641</v>
      </c>
    </row>
    <row r="150" spans="2:13" x14ac:dyDescent="0.25">
      <c r="B150" s="3">
        <f t="shared" si="42"/>
        <v>0.53066666666666584</v>
      </c>
      <c r="C150" s="3">
        <f t="shared" si="43"/>
        <v>0.90466666666666617</v>
      </c>
      <c r="D150" s="1">
        <f t="shared" si="44"/>
        <v>1.6849345103889</v>
      </c>
      <c r="E150">
        <f t="shared" si="45"/>
        <v>0.1170170447534546</v>
      </c>
      <c r="F150" s="1">
        <f t="shared" si="46"/>
        <v>1.6936223807454924</v>
      </c>
      <c r="G150" s="1">
        <f t="shared" si="47"/>
        <v>0.11706806002665995</v>
      </c>
      <c r="H150">
        <f t="shared" si="36"/>
        <v>-8.6878703565924642E-3</v>
      </c>
      <c r="I150">
        <f t="shared" si="37"/>
        <v>-5.101527320534871E-5</v>
      </c>
      <c r="J150">
        <f t="shared" si="38"/>
        <v>1</v>
      </c>
      <c r="K150">
        <f t="shared" si="39"/>
        <v>1</v>
      </c>
      <c r="L150">
        <f t="shared" si="40"/>
        <v>1.8941385801797079</v>
      </c>
      <c r="M150">
        <f t="shared" si="41"/>
        <v>1.1058614198202918</v>
      </c>
    </row>
    <row r="151" spans="2:13" x14ac:dyDescent="0.25">
      <c r="B151" s="3">
        <f t="shared" si="42"/>
        <v>0.52766666666666584</v>
      </c>
      <c r="C151" s="3">
        <f t="shared" si="43"/>
        <v>0.90166666666666617</v>
      </c>
      <c r="D151" s="1">
        <f t="shared" si="44"/>
        <v>1.6961923510795403</v>
      </c>
      <c r="E151">
        <f t="shared" si="45"/>
        <v>0.1164242174643596</v>
      </c>
      <c r="F151" s="1">
        <f t="shared" si="46"/>
        <v>1.6960924179196795</v>
      </c>
      <c r="G151" s="1">
        <f t="shared" si="47"/>
        <v>0.11599576224113568</v>
      </c>
      <c r="H151">
        <f t="shared" si="36"/>
        <v>9.9933159860787768E-5</v>
      </c>
      <c r="I151">
        <f t="shared" si="37"/>
        <v>4.2845522322391971E-4</v>
      </c>
      <c r="J151">
        <f t="shared" si="38"/>
        <v>0</v>
      </c>
      <c r="K151">
        <f t="shared" si="39"/>
        <v>0</v>
      </c>
      <c r="L151">
        <f t="shared" si="40"/>
        <v>1.8950241639196359</v>
      </c>
      <c r="M151">
        <f t="shared" si="41"/>
        <v>1.1049758360803641</v>
      </c>
    </row>
    <row r="152" spans="2:13" x14ac:dyDescent="0.25">
      <c r="B152" s="3">
        <f t="shared" si="42"/>
        <v>0.53066666666666584</v>
      </c>
      <c r="C152" s="3">
        <f t="shared" si="43"/>
        <v>0.90466666666666617</v>
      </c>
      <c r="D152" s="1">
        <f t="shared" si="44"/>
        <v>1.6849345103889</v>
      </c>
      <c r="E152">
        <f t="shared" si="45"/>
        <v>0.1170170447534546</v>
      </c>
      <c r="F152" s="1">
        <f t="shared" si="46"/>
        <v>1.6936223807454924</v>
      </c>
      <c r="G152" s="1">
        <f t="shared" si="47"/>
        <v>0.11706806002665995</v>
      </c>
      <c r="H152">
        <f t="shared" si="36"/>
        <v>-8.6878703565924642E-3</v>
      </c>
      <c r="I152">
        <f t="shared" si="37"/>
        <v>-5.101527320534871E-5</v>
      </c>
      <c r="J152">
        <f t="shared" si="38"/>
        <v>1</v>
      </c>
      <c r="K152">
        <f t="shared" si="39"/>
        <v>1</v>
      </c>
      <c r="L152">
        <f t="shared" si="40"/>
        <v>1.8941385801797079</v>
      </c>
      <c r="M152">
        <f t="shared" si="41"/>
        <v>1.1058614198202918</v>
      </c>
    </row>
    <row r="153" spans="2:13" x14ac:dyDescent="0.25">
      <c r="B153" s="3">
        <f t="shared" si="42"/>
        <v>0.52766666666666584</v>
      </c>
      <c r="C153" s="3">
        <f t="shared" si="43"/>
        <v>0.90166666666666617</v>
      </c>
      <c r="D153" s="1">
        <f t="shared" si="44"/>
        <v>1.6961923510795403</v>
      </c>
      <c r="E153">
        <f t="shared" si="45"/>
        <v>0.1164242174643596</v>
      </c>
      <c r="F153" s="1">
        <f t="shared" si="46"/>
        <v>1.6960924179196795</v>
      </c>
      <c r="G153" s="1">
        <f t="shared" si="47"/>
        <v>0.11599576224113568</v>
      </c>
      <c r="H153">
        <f t="shared" si="36"/>
        <v>9.9933159860787768E-5</v>
      </c>
      <c r="I153">
        <f t="shared" si="37"/>
        <v>4.2845522322391971E-4</v>
      </c>
      <c r="J153">
        <f t="shared" si="38"/>
        <v>0</v>
      </c>
      <c r="K153">
        <f t="shared" si="39"/>
        <v>0</v>
      </c>
      <c r="L153">
        <f t="shared" si="40"/>
        <v>1.8950241639196359</v>
      </c>
      <c r="M153">
        <f t="shared" si="41"/>
        <v>1.1049758360803641</v>
      </c>
    </row>
    <row r="154" spans="2:13" x14ac:dyDescent="0.25">
      <c r="B154" s="3">
        <f t="shared" si="42"/>
        <v>0.53066666666666584</v>
      </c>
      <c r="C154" s="3">
        <f t="shared" si="43"/>
        <v>0.90466666666666617</v>
      </c>
      <c r="D154" s="1">
        <f t="shared" si="44"/>
        <v>1.6849345103889</v>
      </c>
      <c r="E154">
        <f t="shared" si="45"/>
        <v>0.1170170447534546</v>
      </c>
      <c r="F154" s="1">
        <f t="shared" si="46"/>
        <v>1.6936223807454924</v>
      </c>
      <c r="G154" s="1">
        <f t="shared" si="47"/>
        <v>0.11706806002665995</v>
      </c>
      <c r="H154">
        <f t="shared" si="36"/>
        <v>-8.6878703565924642E-3</v>
      </c>
      <c r="I154">
        <f t="shared" si="37"/>
        <v>-5.101527320534871E-5</v>
      </c>
      <c r="J154">
        <f t="shared" si="38"/>
        <v>1</v>
      </c>
      <c r="K154">
        <f t="shared" si="39"/>
        <v>1</v>
      </c>
      <c r="L154">
        <f t="shared" si="40"/>
        <v>1.8941385801797079</v>
      </c>
      <c r="M154">
        <f t="shared" si="41"/>
        <v>1.1058614198202918</v>
      </c>
    </row>
    <row r="155" spans="2:13" x14ac:dyDescent="0.25">
      <c r="B155" s="3">
        <f t="shared" si="42"/>
        <v>0.52766666666666584</v>
      </c>
      <c r="C155" s="3">
        <f t="shared" si="43"/>
        <v>0.90166666666666617</v>
      </c>
      <c r="D155" s="1">
        <f t="shared" si="44"/>
        <v>1.6961923510795403</v>
      </c>
      <c r="E155">
        <f t="shared" si="45"/>
        <v>0.1164242174643596</v>
      </c>
      <c r="F155" s="1">
        <f t="shared" si="46"/>
        <v>1.6960924179196795</v>
      </c>
      <c r="G155" s="1">
        <f t="shared" si="47"/>
        <v>0.11599576224113568</v>
      </c>
      <c r="H155">
        <f t="shared" si="36"/>
        <v>9.9933159860787768E-5</v>
      </c>
      <c r="I155">
        <f t="shared" si="37"/>
        <v>4.2845522322391971E-4</v>
      </c>
      <c r="J155">
        <f t="shared" si="38"/>
        <v>0</v>
      </c>
      <c r="K155">
        <f t="shared" si="39"/>
        <v>0</v>
      </c>
      <c r="L155">
        <f t="shared" si="40"/>
        <v>1.8950241639196359</v>
      </c>
      <c r="M155">
        <f t="shared" si="41"/>
        <v>1.1049758360803641</v>
      </c>
    </row>
    <row r="156" spans="2:13" x14ac:dyDescent="0.25">
      <c r="B156" s="3">
        <f t="shared" si="42"/>
        <v>0.53066666666666584</v>
      </c>
      <c r="C156" s="3">
        <f t="shared" si="43"/>
        <v>0.90466666666666617</v>
      </c>
      <c r="D156" s="1">
        <f t="shared" si="44"/>
        <v>1.6849345103889</v>
      </c>
      <c r="E156">
        <f t="shared" si="45"/>
        <v>0.1170170447534546</v>
      </c>
      <c r="F156" s="1">
        <f t="shared" si="46"/>
        <v>1.6936223807454924</v>
      </c>
      <c r="G156" s="1">
        <f t="shared" si="47"/>
        <v>0.11706806002665995</v>
      </c>
      <c r="H156">
        <f t="shared" si="36"/>
        <v>-8.6878703565924642E-3</v>
      </c>
      <c r="I156">
        <f t="shared" si="37"/>
        <v>-5.101527320534871E-5</v>
      </c>
      <c r="J156">
        <f t="shared" si="38"/>
        <v>1</v>
      </c>
      <c r="K156">
        <f t="shared" si="39"/>
        <v>1</v>
      </c>
      <c r="L156">
        <f t="shared" si="40"/>
        <v>1.8941385801797079</v>
      </c>
      <c r="M156">
        <f t="shared" si="41"/>
        <v>1.1058614198202918</v>
      </c>
    </row>
    <row r="157" spans="2:13" x14ac:dyDescent="0.25">
      <c r="B157" s="3">
        <f t="shared" si="42"/>
        <v>0.52766666666666584</v>
      </c>
      <c r="C157" s="3">
        <f t="shared" si="43"/>
        <v>0.90166666666666617</v>
      </c>
      <c r="D157" s="1">
        <f t="shared" si="44"/>
        <v>1.6961923510795403</v>
      </c>
      <c r="E157">
        <f t="shared" si="45"/>
        <v>0.1164242174643596</v>
      </c>
      <c r="F157" s="1">
        <f t="shared" si="46"/>
        <v>1.6960924179196795</v>
      </c>
      <c r="G157" s="1">
        <f t="shared" si="47"/>
        <v>0.11599576224113568</v>
      </c>
      <c r="H157">
        <f t="shared" si="36"/>
        <v>9.9933159860787768E-5</v>
      </c>
      <c r="I157">
        <f t="shared" si="37"/>
        <v>4.2845522322391971E-4</v>
      </c>
      <c r="J157">
        <f t="shared" si="38"/>
        <v>0</v>
      </c>
      <c r="K157">
        <f t="shared" si="39"/>
        <v>0</v>
      </c>
      <c r="L157">
        <f t="shared" si="40"/>
        <v>1.8950241639196359</v>
      </c>
      <c r="M157">
        <f t="shared" si="41"/>
        <v>1.1049758360803641</v>
      </c>
    </row>
    <row r="158" spans="2:13" x14ac:dyDescent="0.25">
      <c r="B158" s="3">
        <f t="shared" si="42"/>
        <v>0.53066666666666584</v>
      </c>
      <c r="C158" s="3">
        <f t="shared" si="43"/>
        <v>0.90466666666666617</v>
      </c>
      <c r="D158" s="1">
        <f t="shared" si="44"/>
        <v>1.6849345103889</v>
      </c>
      <c r="E158">
        <f t="shared" si="45"/>
        <v>0.1170170447534546</v>
      </c>
      <c r="F158" s="1">
        <f t="shared" si="46"/>
        <v>1.6936223807454924</v>
      </c>
      <c r="G158" s="1">
        <f t="shared" si="47"/>
        <v>0.11706806002665995</v>
      </c>
      <c r="H158">
        <f t="shared" si="36"/>
        <v>-8.6878703565924642E-3</v>
      </c>
      <c r="I158">
        <f t="shared" si="37"/>
        <v>-5.101527320534871E-5</v>
      </c>
      <c r="J158">
        <f t="shared" si="38"/>
        <v>1</v>
      </c>
      <c r="K158">
        <f t="shared" si="39"/>
        <v>1</v>
      </c>
      <c r="L158">
        <f t="shared" si="40"/>
        <v>1.8941385801797079</v>
      </c>
      <c r="M158">
        <f t="shared" si="41"/>
        <v>1.1058614198202918</v>
      </c>
    </row>
    <row r="159" spans="2:13" x14ac:dyDescent="0.25">
      <c r="B159" s="3">
        <f t="shared" si="42"/>
        <v>0.52766666666666584</v>
      </c>
      <c r="C159" s="3">
        <f t="shared" si="43"/>
        <v>0.90166666666666617</v>
      </c>
      <c r="D159" s="1">
        <f t="shared" si="44"/>
        <v>1.6961923510795403</v>
      </c>
      <c r="E159">
        <f t="shared" si="45"/>
        <v>0.1164242174643596</v>
      </c>
      <c r="F159" s="1">
        <f t="shared" si="46"/>
        <v>1.6960924179196795</v>
      </c>
      <c r="G159" s="1">
        <f t="shared" si="47"/>
        <v>0.11599576224113568</v>
      </c>
      <c r="H159">
        <f t="shared" si="36"/>
        <v>9.9933159860787768E-5</v>
      </c>
      <c r="I159">
        <f t="shared" si="37"/>
        <v>4.2845522322391971E-4</v>
      </c>
      <c r="J159">
        <f t="shared" si="38"/>
        <v>0</v>
      </c>
      <c r="K159">
        <f t="shared" si="39"/>
        <v>0</v>
      </c>
      <c r="L159">
        <f t="shared" si="40"/>
        <v>1.8950241639196359</v>
      </c>
      <c r="M159">
        <f t="shared" si="41"/>
        <v>1.1049758360803641</v>
      </c>
    </row>
    <row r="160" spans="2:13" x14ac:dyDescent="0.25">
      <c r="B160" s="3">
        <f t="shared" si="42"/>
        <v>0.53066666666666584</v>
      </c>
      <c r="C160" s="3">
        <f t="shared" si="43"/>
        <v>0.90466666666666617</v>
      </c>
      <c r="D160" s="1">
        <f t="shared" si="44"/>
        <v>1.6849345103889</v>
      </c>
      <c r="E160">
        <f t="shared" si="45"/>
        <v>0.1170170447534546</v>
      </c>
      <c r="F160" s="1">
        <f t="shared" si="46"/>
        <v>1.6936223807454924</v>
      </c>
      <c r="G160" s="1">
        <f t="shared" si="47"/>
        <v>0.11706806002665995</v>
      </c>
      <c r="H160">
        <f t="shared" si="36"/>
        <v>-8.6878703565924642E-3</v>
      </c>
      <c r="I160">
        <f t="shared" si="37"/>
        <v>-5.101527320534871E-5</v>
      </c>
      <c r="J160">
        <f t="shared" si="38"/>
        <v>1</v>
      </c>
      <c r="K160">
        <f t="shared" si="39"/>
        <v>1</v>
      </c>
      <c r="L160">
        <f t="shared" si="40"/>
        <v>1.8941385801797079</v>
      </c>
      <c r="M160">
        <f t="shared" si="41"/>
        <v>1.1058614198202918</v>
      </c>
    </row>
    <row r="161" spans="1:15" x14ac:dyDescent="0.25">
      <c r="B161" s="3">
        <f t="shared" si="42"/>
        <v>0.52766666666666584</v>
      </c>
      <c r="C161" s="3">
        <f t="shared" si="43"/>
        <v>0.90166666666666617</v>
      </c>
      <c r="D161" s="1">
        <f t="shared" si="44"/>
        <v>1.6961923510795403</v>
      </c>
      <c r="E161">
        <f t="shared" si="45"/>
        <v>0.1164242174643596</v>
      </c>
      <c r="F161" s="1">
        <f t="shared" si="46"/>
        <v>1.6960924179196795</v>
      </c>
      <c r="G161" s="1">
        <f t="shared" si="47"/>
        <v>0.11599576224113568</v>
      </c>
      <c r="H161">
        <f t="shared" si="36"/>
        <v>9.9933159860787768E-5</v>
      </c>
      <c r="I161">
        <f t="shared" si="37"/>
        <v>4.2845522322391971E-4</v>
      </c>
      <c r="J161">
        <f t="shared" si="38"/>
        <v>0</v>
      </c>
      <c r="K161">
        <f t="shared" si="39"/>
        <v>0</v>
      </c>
      <c r="L161">
        <f t="shared" si="40"/>
        <v>1.8950241639196359</v>
      </c>
      <c r="M161">
        <f t="shared" si="41"/>
        <v>1.1049758360803641</v>
      </c>
    </row>
    <row r="162" spans="1:15" x14ac:dyDescent="0.25">
      <c r="B162" s="3">
        <f t="shared" si="42"/>
        <v>0.53066666666666584</v>
      </c>
      <c r="C162" s="3">
        <f t="shared" si="43"/>
        <v>0.90466666666666617</v>
      </c>
      <c r="D162" s="1">
        <f t="shared" si="44"/>
        <v>1.6849345103889</v>
      </c>
      <c r="E162">
        <f t="shared" si="45"/>
        <v>0.1170170447534546</v>
      </c>
      <c r="F162" s="1">
        <f t="shared" si="46"/>
        <v>1.6936223807454924</v>
      </c>
      <c r="G162" s="1">
        <f t="shared" si="47"/>
        <v>0.11706806002665995</v>
      </c>
      <c r="H162">
        <f t="shared" si="36"/>
        <v>-8.6878703565924642E-3</v>
      </c>
      <c r="I162">
        <f t="shared" si="37"/>
        <v>-5.101527320534871E-5</v>
      </c>
      <c r="J162">
        <f t="shared" si="38"/>
        <v>1</v>
      </c>
      <c r="K162">
        <f t="shared" si="39"/>
        <v>1</v>
      </c>
      <c r="L162">
        <f t="shared" si="40"/>
        <v>1.8941385801797079</v>
      </c>
      <c r="M162">
        <f t="shared" si="41"/>
        <v>1.1058614198202918</v>
      </c>
    </row>
    <row r="163" spans="1:15" x14ac:dyDescent="0.25">
      <c r="B163" s="3">
        <f t="shared" si="42"/>
        <v>0.52766666666666584</v>
      </c>
      <c r="C163" s="3">
        <f t="shared" si="43"/>
        <v>0.90166666666666617</v>
      </c>
      <c r="D163" s="1">
        <f t="shared" si="44"/>
        <v>1.6961923510795403</v>
      </c>
      <c r="E163">
        <f t="shared" si="45"/>
        <v>0.1164242174643596</v>
      </c>
      <c r="F163" s="1">
        <f t="shared" si="46"/>
        <v>1.6960924179196795</v>
      </c>
      <c r="G163" s="1">
        <f t="shared" si="47"/>
        <v>0.11599576224113568</v>
      </c>
      <c r="H163">
        <f t="shared" si="36"/>
        <v>9.9933159860787768E-5</v>
      </c>
      <c r="I163">
        <f t="shared" si="37"/>
        <v>4.2845522322391971E-4</v>
      </c>
      <c r="J163">
        <f t="shared" si="38"/>
        <v>0</v>
      </c>
      <c r="K163">
        <f t="shared" si="39"/>
        <v>0</v>
      </c>
      <c r="L163">
        <f t="shared" si="40"/>
        <v>1.8950241639196359</v>
      </c>
      <c r="M163">
        <f t="shared" si="41"/>
        <v>1.1049758360803641</v>
      </c>
    </row>
    <row r="164" spans="1:15" x14ac:dyDescent="0.25">
      <c r="B164" s="3">
        <f t="shared" si="42"/>
        <v>0.53066666666666584</v>
      </c>
      <c r="C164" s="3">
        <f t="shared" si="43"/>
        <v>0.90466666666666617</v>
      </c>
      <c r="D164" s="1">
        <f t="shared" si="44"/>
        <v>1.6849345103889</v>
      </c>
      <c r="E164">
        <f t="shared" si="45"/>
        <v>0.1170170447534546</v>
      </c>
      <c r="F164" s="1">
        <f t="shared" si="46"/>
        <v>1.6936223807454924</v>
      </c>
      <c r="G164" s="1">
        <f t="shared" si="47"/>
        <v>0.11706806002665995</v>
      </c>
      <c r="H164">
        <f t="shared" si="36"/>
        <v>-8.6878703565924642E-3</v>
      </c>
      <c r="I164">
        <f t="shared" si="37"/>
        <v>-5.101527320534871E-5</v>
      </c>
      <c r="J164">
        <f t="shared" si="38"/>
        <v>1</v>
      </c>
      <c r="K164">
        <f t="shared" si="39"/>
        <v>1</v>
      </c>
      <c r="L164">
        <f t="shared" si="40"/>
        <v>1.8941385801797079</v>
      </c>
      <c r="M164">
        <f t="shared" si="41"/>
        <v>1.1058614198202918</v>
      </c>
    </row>
    <row r="166" spans="1:15" x14ac:dyDescent="0.25">
      <c r="A166" t="s">
        <v>0</v>
      </c>
      <c r="B166">
        <v>0.73</v>
      </c>
    </row>
    <row r="168" spans="1:15" x14ac:dyDescent="0.25">
      <c r="B168" s="4" t="s">
        <v>9</v>
      </c>
      <c r="C168" s="4" t="s">
        <v>2</v>
      </c>
      <c r="D168" s="5" t="s">
        <v>8</v>
      </c>
      <c r="E168" s="4" t="s">
        <v>3</v>
      </c>
      <c r="F168" s="5" t="s">
        <v>5</v>
      </c>
      <c r="G168" s="4" t="s">
        <v>4</v>
      </c>
      <c r="H168" s="4" t="s">
        <v>10</v>
      </c>
      <c r="I168" s="4" t="s">
        <v>11</v>
      </c>
      <c r="J168" s="6" t="s">
        <v>16</v>
      </c>
      <c r="K168" s="6" t="s">
        <v>17</v>
      </c>
      <c r="L168" s="6" t="s">
        <v>22</v>
      </c>
      <c r="M168" s="6" t="s">
        <v>23</v>
      </c>
    </row>
    <row r="169" spans="1:15" x14ac:dyDescent="0.25">
      <c r="B169" s="2">
        <v>0.65666666666666595</v>
      </c>
      <c r="C169" s="2">
        <v>0.67666666666666597</v>
      </c>
      <c r="D169" s="1">
        <f>((B169^(1/($B$166-1))*$B$2)/(B169^($B$166/($B$166-1))+C169^($B$166/($B$166-1))))</f>
        <v>0.79228657814311143</v>
      </c>
      <c r="E169" s="1">
        <f>((C169^(1/($B$166-1))*$B$2)/(B169^($B$166/($B$166-1))+C169^($B$166/($B$166-1))))</f>
        <v>0.70896327145717908</v>
      </c>
      <c r="F169" s="1">
        <f>(B169*D169)^2 + (B169*D169)</f>
        <v>0.79094717200441</v>
      </c>
      <c r="G169" s="1">
        <f>(C169*E169)^2 + (C169*E169)</f>
        <v>0.70987442674850609</v>
      </c>
      <c r="H169">
        <f>D169-F169</f>
        <v>1.3394061387014267E-3</v>
      </c>
      <c r="I169">
        <f>E169-G169</f>
        <v>-9.1115529132701489E-4</v>
      </c>
      <c r="J169">
        <f>IF(H169&lt;0,1,0)</f>
        <v>0</v>
      </c>
      <c r="K169">
        <f>IF(I169&lt;0,1,0)</f>
        <v>1</v>
      </c>
      <c r="L169">
        <f>F169/(B169*D169)</f>
        <v>1.520268186313976</v>
      </c>
      <c r="M169">
        <f>G169/(C169*E169)</f>
        <v>1.479731813686024</v>
      </c>
      <c r="O169">
        <v>1</v>
      </c>
    </row>
    <row r="170" spans="1:15" x14ac:dyDescent="0.25">
      <c r="B170" s="3">
        <f t="shared" ref="B170:B233" si="48">IF(J169=1,B169-$A$42,B169+$A$42)</f>
        <v>0.65966666666666596</v>
      </c>
      <c r="C170" s="3">
        <f t="shared" ref="C170:C233" si="49">IF(K169=1,C169-$A$42,C169+$A$42)</f>
        <v>0.67366666666666597</v>
      </c>
      <c r="D170" s="1">
        <f t="shared" ref="D170:D233" si="50">((B170^(1/($B$166-1))*$B$2)/(B170^($B$166/($B$166-1))+C170^($B$166/($B$166-1))))</f>
        <v>0.77947117791092835</v>
      </c>
      <c r="E170" s="1">
        <f t="shared" ref="E170:E233" si="51">((C170^(1/($B$166-1))*$B$2)/(B170^($B$166/($B$166-1))+C170^($B$166/($B$166-1))))</f>
        <v>0.72114128595461424</v>
      </c>
      <c r="F170" s="1">
        <f t="shared" ref="F170:F233" si="52">(B170*D170)^2 + (B170*D170)</f>
        <v>0.77858369623368562</v>
      </c>
      <c r="G170" s="1">
        <f t="shared" ref="G170:G233" si="53">(C170*E170)^2 + (C170*E170)</f>
        <v>0.72181908145271789</v>
      </c>
      <c r="H170">
        <f t="shared" ref="H170:H233" si="54">D170-F170</f>
        <v>8.8748167724272964E-4</v>
      </c>
      <c r="I170">
        <f t="shared" ref="I170:I233" si="55">E170-G170</f>
        <v>-6.7779549810365047E-4</v>
      </c>
      <c r="J170">
        <f t="shared" ref="J170:J233" si="56">IF(H170&lt;0,1,0)</f>
        <v>0</v>
      </c>
      <c r="K170">
        <f t="shared" ref="K170:K233" si="57">IF(I170&lt;0,1,0)</f>
        <v>1</v>
      </c>
      <c r="L170">
        <f t="shared" ref="L170:L233" si="58">F170/(B170*D170)</f>
        <v>1.5141911536952419</v>
      </c>
      <c r="M170">
        <f t="shared" ref="M170:M233" si="59">G170/(C170*E170)</f>
        <v>1.4858088463047578</v>
      </c>
      <c r="O170">
        <v>2</v>
      </c>
    </row>
    <row r="171" spans="1:15" x14ac:dyDescent="0.25">
      <c r="B171" s="3">
        <f t="shared" si="48"/>
        <v>0.66266666666666596</v>
      </c>
      <c r="C171" s="3">
        <f t="shared" si="49"/>
        <v>0.67066666666666597</v>
      </c>
      <c r="D171" s="1">
        <f t="shared" si="50"/>
        <v>0.76676634354299289</v>
      </c>
      <c r="E171" s="1">
        <f t="shared" si="51"/>
        <v>0.7334336526026507</v>
      </c>
      <c r="F171" s="1">
        <f t="shared" si="52"/>
        <v>0.76628677413703494</v>
      </c>
      <c r="G171" s="1">
        <f t="shared" si="53"/>
        <v>0.73384478618574389</v>
      </c>
      <c r="H171">
        <f t="shared" si="54"/>
        <v>4.7956940595794695E-4</v>
      </c>
      <c r="I171">
        <f t="shared" si="55"/>
        <v>-4.1113358309319281E-4</v>
      </c>
      <c r="J171">
        <f t="shared" si="56"/>
        <v>0</v>
      </c>
      <c r="K171">
        <f t="shared" si="57"/>
        <v>1</v>
      </c>
      <c r="L171">
        <f t="shared" si="58"/>
        <v>1.5081104969878227</v>
      </c>
      <c r="M171">
        <f t="shared" si="59"/>
        <v>1.4918895030121773</v>
      </c>
      <c r="O171">
        <v>3</v>
      </c>
    </row>
    <row r="172" spans="1:15" x14ac:dyDescent="0.25">
      <c r="B172" s="3">
        <f t="shared" si="48"/>
        <v>0.66566666666666596</v>
      </c>
      <c r="C172" s="3">
        <f t="shared" si="49"/>
        <v>0.66766666666666596</v>
      </c>
      <c r="D172" s="1">
        <f t="shared" si="50"/>
        <v>0.75417291163948308</v>
      </c>
      <c r="E172" s="1">
        <f t="shared" si="51"/>
        <v>0.74583958834545949</v>
      </c>
      <c r="F172" s="1">
        <f t="shared" si="52"/>
        <v>0.75405964820649474</v>
      </c>
      <c r="G172" s="1">
        <f t="shared" si="53"/>
        <v>0.74594857548109972</v>
      </c>
      <c r="H172">
        <f t="shared" si="54"/>
        <v>1.1326343298834196E-4</v>
      </c>
      <c r="I172">
        <f t="shared" si="55"/>
        <v>-1.0898713564022611E-4</v>
      </c>
      <c r="J172">
        <f t="shared" si="56"/>
        <v>0</v>
      </c>
      <c r="K172">
        <f t="shared" si="57"/>
        <v>1</v>
      </c>
      <c r="L172">
        <f t="shared" si="58"/>
        <v>1.5020277681813485</v>
      </c>
      <c r="M172">
        <f t="shared" si="59"/>
        <v>1.497972231818651</v>
      </c>
      <c r="O172">
        <v>4</v>
      </c>
    </row>
    <row r="173" spans="1:15" x14ac:dyDescent="0.25">
      <c r="B173" s="3">
        <f t="shared" si="48"/>
        <v>0.66866666666666597</v>
      </c>
      <c r="C173" s="3">
        <f t="shared" si="49"/>
        <v>0.66466666666666596</v>
      </c>
      <c r="D173" s="1">
        <f t="shared" si="50"/>
        <v>0.74169170670190343</v>
      </c>
      <c r="E173" s="1">
        <f t="shared" si="51"/>
        <v>0.75835829305716396</v>
      </c>
      <c r="F173" s="1">
        <f t="shared" si="52"/>
        <v>0.74190548933752276</v>
      </c>
      <c r="G173" s="1">
        <f t="shared" si="53"/>
        <v>0.75812740447883376</v>
      </c>
      <c r="H173">
        <f t="shared" si="54"/>
        <v>-2.1378263561933064E-4</v>
      </c>
      <c r="I173">
        <f t="shared" si="55"/>
        <v>2.3088857833020171E-4</v>
      </c>
      <c r="J173">
        <f t="shared" si="56"/>
        <v>1</v>
      </c>
      <c r="K173">
        <f t="shared" si="57"/>
        <v>0</v>
      </c>
      <c r="L173">
        <f t="shared" si="58"/>
        <v>1.4959445212146723</v>
      </c>
      <c r="M173">
        <f t="shared" si="59"/>
        <v>1.5040554787853277</v>
      </c>
      <c r="O173">
        <v>5</v>
      </c>
    </row>
    <row r="174" spans="1:15" x14ac:dyDescent="0.25">
      <c r="B174" s="3">
        <f t="shared" si="48"/>
        <v>0.66566666666666596</v>
      </c>
      <c r="C174" s="3">
        <f t="shared" si="49"/>
        <v>0.66766666666666596</v>
      </c>
      <c r="D174" s="1">
        <f t="shared" si="50"/>
        <v>0.75417291163948308</v>
      </c>
      <c r="E174" s="1">
        <f t="shared" si="51"/>
        <v>0.74583958834545949</v>
      </c>
      <c r="F174" s="1">
        <f t="shared" si="52"/>
        <v>0.75405964820649474</v>
      </c>
      <c r="G174" s="1">
        <f t="shared" si="53"/>
        <v>0.74594857548109972</v>
      </c>
      <c r="H174">
        <f t="shared" si="54"/>
        <v>1.1326343298834196E-4</v>
      </c>
      <c r="I174">
        <f t="shared" si="55"/>
        <v>-1.0898713564022611E-4</v>
      </c>
      <c r="J174">
        <f t="shared" si="56"/>
        <v>0</v>
      </c>
      <c r="K174">
        <f t="shared" si="57"/>
        <v>1</v>
      </c>
      <c r="L174">
        <f t="shared" si="58"/>
        <v>1.5020277681813485</v>
      </c>
      <c r="M174">
        <f t="shared" si="59"/>
        <v>1.497972231818651</v>
      </c>
      <c r="O174">
        <v>6</v>
      </c>
    </row>
    <row r="175" spans="1:15" x14ac:dyDescent="0.25">
      <c r="B175" s="3">
        <f t="shared" si="48"/>
        <v>0.66866666666666597</v>
      </c>
      <c r="C175" s="3">
        <f t="shared" si="49"/>
        <v>0.66466666666666596</v>
      </c>
      <c r="D175" s="1">
        <f t="shared" si="50"/>
        <v>0.74169170670190343</v>
      </c>
      <c r="E175" s="1">
        <f t="shared" si="51"/>
        <v>0.75835829305716396</v>
      </c>
      <c r="F175" s="1">
        <f t="shared" si="52"/>
        <v>0.74190548933752276</v>
      </c>
      <c r="G175" s="1">
        <f t="shared" si="53"/>
        <v>0.75812740447883376</v>
      </c>
      <c r="H175">
        <f t="shared" si="54"/>
        <v>-2.1378263561933064E-4</v>
      </c>
      <c r="I175">
        <f t="shared" si="55"/>
        <v>2.3088857833020171E-4</v>
      </c>
      <c r="J175">
        <f t="shared" si="56"/>
        <v>1</v>
      </c>
      <c r="K175">
        <f t="shared" si="57"/>
        <v>0</v>
      </c>
      <c r="L175">
        <f t="shared" si="58"/>
        <v>1.4959445212146723</v>
      </c>
      <c r="M175">
        <f t="shared" si="59"/>
        <v>1.5040554787853277</v>
      </c>
      <c r="O175">
        <v>7</v>
      </c>
    </row>
    <row r="176" spans="1:15" x14ac:dyDescent="0.25">
      <c r="B176" s="3">
        <f t="shared" si="48"/>
        <v>0.66566666666666596</v>
      </c>
      <c r="C176" s="3">
        <f t="shared" si="49"/>
        <v>0.66766666666666596</v>
      </c>
      <c r="D176" s="1">
        <f t="shared" si="50"/>
        <v>0.75417291163948308</v>
      </c>
      <c r="E176" s="1">
        <f t="shared" si="51"/>
        <v>0.74583958834545949</v>
      </c>
      <c r="F176" s="1">
        <f t="shared" si="52"/>
        <v>0.75405964820649474</v>
      </c>
      <c r="G176" s="1">
        <f t="shared" si="53"/>
        <v>0.74594857548109972</v>
      </c>
      <c r="H176">
        <f t="shared" si="54"/>
        <v>1.1326343298834196E-4</v>
      </c>
      <c r="I176">
        <f t="shared" si="55"/>
        <v>-1.0898713564022611E-4</v>
      </c>
      <c r="J176">
        <f t="shared" si="56"/>
        <v>0</v>
      </c>
      <c r="K176">
        <f t="shared" si="57"/>
        <v>1</v>
      </c>
      <c r="L176">
        <f t="shared" si="58"/>
        <v>1.5020277681813485</v>
      </c>
      <c r="M176">
        <f t="shared" si="59"/>
        <v>1.497972231818651</v>
      </c>
      <c r="O176">
        <v>8</v>
      </c>
    </row>
    <row r="177" spans="2:15" x14ac:dyDescent="0.25">
      <c r="B177" s="3">
        <f t="shared" si="48"/>
        <v>0.66866666666666597</v>
      </c>
      <c r="C177" s="3">
        <f t="shared" si="49"/>
        <v>0.66466666666666596</v>
      </c>
      <c r="D177" s="1">
        <f t="shared" si="50"/>
        <v>0.74169170670190343</v>
      </c>
      <c r="E177" s="1">
        <f t="shared" si="51"/>
        <v>0.75835829305716396</v>
      </c>
      <c r="F177" s="1">
        <f t="shared" si="52"/>
        <v>0.74190548933752276</v>
      </c>
      <c r="G177" s="1">
        <f t="shared" si="53"/>
        <v>0.75812740447883376</v>
      </c>
      <c r="H177">
        <f t="shared" si="54"/>
        <v>-2.1378263561933064E-4</v>
      </c>
      <c r="I177">
        <f t="shared" si="55"/>
        <v>2.3088857833020171E-4</v>
      </c>
      <c r="J177">
        <f t="shared" si="56"/>
        <v>1</v>
      </c>
      <c r="K177">
        <f t="shared" si="57"/>
        <v>0</v>
      </c>
      <c r="L177">
        <f t="shared" si="58"/>
        <v>1.4959445212146723</v>
      </c>
      <c r="M177">
        <f t="shared" si="59"/>
        <v>1.5040554787853277</v>
      </c>
      <c r="O177">
        <v>9</v>
      </c>
    </row>
    <row r="178" spans="2:15" x14ac:dyDescent="0.25">
      <c r="B178" s="3">
        <f t="shared" si="48"/>
        <v>0.66566666666666596</v>
      </c>
      <c r="C178" s="3">
        <f t="shared" si="49"/>
        <v>0.66766666666666596</v>
      </c>
      <c r="D178" s="1">
        <f t="shared" si="50"/>
        <v>0.75417291163948308</v>
      </c>
      <c r="E178" s="1">
        <f t="shared" si="51"/>
        <v>0.74583958834545949</v>
      </c>
      <c r="F178" s="1">
        <f t="shared" si="52"/>
        <v>0.75405964820649474</v>
      </c>
      <c r="G178" s="1">
        <f t="shared" si="53"/>
        <v>0.74594857548109972</v>
      </c>
      <c r="H178">
        <f t="shared" si="54"/>
        <v>1.1326343298834196E-4</v>
      </c>
      <c r="I178">
        <f t="shared" si="55"/>
        <v>-1.0898713564022611E-4</v>
      </c>
      <c r="J178">
        <f t="shared" si="56"/>
        <v>0</v>
      </c>
      <c r="K178">
        <f t="shared" si="57"/>
        <v>1</v>
      </c>
      <c r="L178">
        <f t="shared" si="58"/>
        <v>1.5020277681813485</v>
      </c>
      <c r="M178">
        <f t="shared" si="59"/>
        <v>1.497972231818651</v>
      </c>
      <c r="O178">
        <v>10</v>
      </c>
    </row>
    <row r="179" spans="2:15" x14ac:dyDescent="0.25">
      <c r="B179" s="3">
        <f t="shared" si="48"/>
        <v>0.66866666666666597</v>
      </c>
      <c r="C179" s="3">
        <f t="shared" si="49"/>
        <v>0.66466666666666596</v>
      </c>
      <c r="D179" s="1">
        <f t="shared" si="50"/>
        <v>0.74169170670190343</v>
      </c>
      <c r="E179" s="1">
        <f t="shared" si="51"/>
        <v>0.75835829305716396</v>
      </c>
      <c r="F179" s="1">
        <f t="shared" si="52"/>
        <v>0.74190548933752276</v>
      </c>
      <c r="G179" s="1">
        <f t="shared" si="53"/>
        <v>0.75812740447883376</v>
      </c>
      <c r="H179">
        <f t="shared" si="54"/>
        <v>-2.1378263561933064E-4</v>
      </c>
      <c r="I179">
        <f t="shared" si="55"/>
        <v>2.3088857833020171E-4</v>
      </c>
      <c r="J179">
        <f t="shared" si="56"/>
        <v>1</v>
      </c>
      <c r="K179">
        <f t="shared" si="57"/>
        <v>0</v>
      </c>
      <c r="L179">
        <f t="shared" si="58"/>
        <v>1.4959445212146723</v>
      </c>
      <c r="M179">
        <f t="shared" si="59"/>
        <v>1.5040554787853277</v>
      </c>
      <c r="O179">
        <v>11</v>
      </c>
    </row>
    <row r="180" spans="2:15" x14ac:dyDescent="0.25">
      <c r="B180" s="3">
        <f t="shared" si="48"/>
        <v>0.66566666666666596</v>
      </c>
      <c r="C180" s="3">
        <f t="shared" si="49"/>
        <v>0.66766666666666596</v>
      </c>
      <c r="D180" s="1">
        <f t="shared" si="50"/>
        <v>0.75417291163948308</v>
      </c>
      <c r="E180" s="1">
        <f t="shared" si="51"/>
        <v>0.74583958834545949</v>
      </c>
      <c r="F180" s="1">
        <f t="shared" si="52"/>
        <v>0.75405964820649474</v>
      </c>
      <c r="G180" s="1">
        <f t="shared" si="53"/>
        <v>0.74594857548109972</v>
      </c>
      <c r="H180">
        <f t="shared" si="54"/>
        <v>1.1326343298834196E-4</v>
      </c>
      <c r="I180">
        <f t="shared" si="55"/>
        <v>-1.0898713564022611E-4</v>
      </c>
      <c r="J180">
        <f t="shared" si="56"/>
        <v>0</v>
      </c>
      <c r="K180">
        <f t="shared" si="57"/>
        <v>1</v>
      </c>
      <c r="L180">
        <f t="shared" si="58"/>
        <v>1.5020277681813485</v>
      </c>
      <c r="M180">
        <f t="shared" si="59"/>
        <v>1.497972231818651</v>
      </c>
      <c r="O180">
        <v>12</v>
      </c>
    </row>
    <row r="181" spans="2:15" x14ac:dyDescent="0.25">
      <c r="B181" s="3">
        <f t="shared" si="48"/>
        <v>0.66866666666666597</v>
      </c>
      <c r="C181" s="3">
        <f t="shared" si="49"/>
        <v>0.66466666666666596</v>
      </c>
      <c r="D181" s="1">
        <f t="shared" si="50"/>
        <v>0.74169170670190343</v>
      </c>
      <c r="E181" s="1">
        <f t="shared" si="51"/>
        <v>0.75835829305716396</v>
      </c>
      <c r="F181" s="1">
        <f t="shared" si="52"/>
        <v>0.74190548933752276</v>
      </c>
      <c r="G181" s="1">
        <f t="shared" si="53"/>
        <v>0.75812740447883376</v>
      </c>
      <c r="H181">
        <f t="shared" si="54"/>
        <v>-2.1378263561933064E-4</v>
      </c>
      <c r="I181">
        <f t="shared" si="55"/>
        <v>2.3088857833020171E-4</v>
      </c>
      <c r="J181">
        <f t="shared" si="56"/>
        <v>1</v>
      </c>
      <c r="K181">
        <f t="shared" si="57"/>
        <v>0</v>
      </c>
      <c r="L181">
        <f t="shared" si="58"/>
        <v>1.4959445212146723</v>
      </c>
      <c r="M181">
        <f t="shared" si="59"/>
        <v>1.5040554787853277</v>
      </c>
      <c r="O181">
        <v>13</v>
      </c>
    </row>
    <row r="182" spans="2:15" x14ac:dyDescent="0.25">
      <c r="B182" s="3">
        <f t="shared" si="48"/>
        <v>0.66566666666666596</v>
      </c>
      <c r="C182" s="3">
        <f t="shared" si="49"/>
        <v>0.66766666666666596</v>
      </c>
      <c r="D182" s="1">
        <f t="shared" si="50"/>
        <v>0.75417291163948308</v>
      </c>
      <c r="E182" s="1">
        <f t="shared" si="51"/>
        <v>0.74583958834545949</v>
      </c>
      <c r="F182" s="1">
        <f t="shared" si="52"/>
        <v>0.75405964820649474</v>
      </c>
      <c r="G182" s="1">
        <f t="shared" si="53"/>
        <v>0.74594857548109972</v>
      </c>
      <c r="H182">
        <f t="shared" si="54"/>
        <v>1.1326343298834196E-4</v>
      </c>
      <c r="I182">
        <f t="shared" si="55"/>
        <v>-1.0898713564022611E-4</v>
      </c>
      <c r="J182">
        <f t="shared" si="56"/>
        <v>0</v>
      </c>
      <c r="K182">
        <f t="shared" si="57"/>
        <v>1</v>
      </c>
      <c r="L182">
        <f t="shared" si="58"/>
        <v>1.5020277681813485</v>
      </c>
      <c r="M182">
        <f t="shared" si="59"/>
        <v>1.497972231818651</v>
      </c>
      <c r="O182">
        <v>14</v>
      </c>
    </row>
    <row r="183" spans="2:15" x14ac:dyDescent="0.25">
      <c r="B183" s="3">
        <f t="shared" si="48"/>
        <v>0.66866666666666597</v>
      </c>
      <c r="C183" s="3">
        <f t="shared" si="49"/>
        <v>0.66466666666666596</v>
      </c>
      <c r="D183" s="1">
        <f t="shared" si="50"/>
        <v>0.74169170670190343</v>
      </c>
      <c r="E183" s="1">
        <f t="shared" si="51"/>
        <v>0.75835829305716396</v>
      </c>
      <c r="F183" s="1">
        <f t="shared" si="52"/>
        <v>0.74190548933752276</v>
      </c>
      <c r="G183" s="1">
        <f t="shared" si="53"/>
        <v>0.75812740447883376</v>
      </c>
      <c r="H183">
        <f t="shared" si="54"/>
        <v>-2.1378263561933064E-4</v>
      </c>
      <c r="I183">
        <f t="shared" si="55"/>
        <v>2.3088857833020171E-4</v>
      </c>
      <c r="J183">
        <f t="shared" si="56"/>
        <v>1</v>
      </c>
      <c r="K183">
        <f t="shared" si="57"/>
        <v>0</v>
      </c>
      <c r="L183">
        <f t="shared" si="58"/>
        <v>1.4959445212146723</v>
      </c>
      <c r="M183">
        <f t="shared" si="59"/>
        <v>1.5040554787853277</v>
      </c>
      <c r="O183">
        <v>15</v>
      </c>
    </row>
    <row r="184" spans="2:15" x14ac:dyDescent="0.25">
      <c r="B184" s="3">
        <f t="shared" si="48"/>
        <v>0.66566666666666596</v>
      </c>
      <c r="C184" s="3">
        <f t="shared" si="49"/>
        <v>0.66766666666666596</v>
      </c>
      <c r="D184" s="1">
        <f t="shared" si="50"/>
        <v>0.75417291163948308</v>
      </c>
      <c r="E184" s="1">
        <f t="shared" si="51"/>
        <v>0.74583958834545949</v>
      </c>
      <c r="F184" s="1">
        <f t="shared" si="52"/>
        <v>0.75405964820649474</v>
      </c>
      <c r="G184" s="1">
        <f t="shared" si="53"/>
        <v>0.74594857548109972</v>
      </c>
      <c r="H184">
        <f t="shared" si="54"/>
        <v>1.1326343298834196E-4</v>
      </c>
      <c r="I184">
        <f t="shared" si="55"/>
        <v>-1.0898713564022611E-4</v>
      </c>
      <c r="J184">
        <f t="shared" si="56"/>
        <v>0</v>
      </c>
      <c r="K184">
        <f t="shared" si="57"/>
        <v>1</v>
      </c>
      <c r="L184">
        <f t="shared" si="58"/>
        <v>1.5020277681813485</v>
      </c>
      <c r="M184">
        <f t="shared" si="59"/>
        <v>1.497972231818651</v>
      </c>
      <c r="O184">
        <v>16</v>
      </c>
    </row>
    <row r="185" spans="2:15" x14ac:dyDescent="0.25">
      <c r="B185" s="3">
        <f t="shared" si="48"/>
        <v>0.66866666666666597</v>
      </c>
      <c r="C185" s="3">
        <f t="shared" si="49"/>
        <v>0.66466666666666596</v>
      </c>
      <c r="D185" s="1">
        <f t="shared" si="50"/>
        <v>0.74169170670190343</v>
      </c>
      <c r="E185" s="1">
        <f t="shared" si="51"/>
        <v>0.75835829305716396</v>
      </c>
      <c r="F185" s="1">
        <f t="shared" si="52"/>
        <v>0.74190548933752276</v>
      </c>
      <c r="G185" s="1">
        <f t="shared" si="53"/>
        <v>0.75812740447883376</v>
      </c>
      <c r="H185">
        <f t="shared" si="54"/>
        <v>-2.1378263561933064E-4</v>
      </c>
      <c r="I185">
        <f t="shared" si="55"/>
        <v>2.3088857833020171E-4</v>
      </c>
      <c r="J185">
        <f t="shared" si="56"/>
        <v>1</v>
      </c>
      <c r="K185">
        <f t="shared" si="57"/>
        <v>0</v>
      </c>
      <c r="L185">
        <f t="shared" si="58"/>
        <v>1.4959445212146723</v>
      </c>
      <c r="M185">
        <f t="shared" si="59"/>
        <v>1.5040554787853277</v>
      </c>
      <c r="O185">
        <v>17</v>
      </c>
    </row>
    <row r="186" spans="2:15" x14ac:dyDescent="0.25">
      <c r="B186" s="3">
        <f t="shared" si="48"/>
        <v>0.66566666666666596</v>
      </c>
      <c r="C186" s="3">
        <f t="shared" si="49"/>
        <v>0.66766666666666596</v>
      </c>
      <c r="D186" s="1">
        <f t="shared" si="50"/>
        <v>0.75417291163948308</v>
      </c>
      <c r="E186" s="1">
        <f t="shared" si="51"/>
        <v>0.74583958834545949</v>
      </c>
      <c r="F186" s="1">
        <f t="shared" si="52"/>
        <v>0.75405964820649474</v>
      </c>
      <c r="G186" s="1">
        <f t="shared" si="53"/>
        <v>0.74594857548109972</v>
      </c>
      <c r="H186">
        <f t="shared" si="54"/>
        <v>1.1326343298834196E-4</v>
      </c>
      <c r="I186">
        <f t="shared" si="55"/>
        <v>-1.0898713564022611E-4</v>
      </c>
      <c r="J186">
        <f t="shared" si="56"/>
        <v>0</v>
      </c>
      <c r="K186">
        <f t="shared" si="57"/>
        <v>1</v>
      </c>
      <c r="L186">
        <f t="shared" si="58"/>
        <v>1.5020277681813485</v>
      </c>
      <c r="M186">
        <f t="shared" si="59"/>
        <v>1.497972231818651</v>
      </c>
      <c r="O186">
        <v>18</v>
      </c>
    </row>
    <row r="187" spans="2:15" x14ac:dyDescent="0.25">
      <c r="B187" s="3">
        <f t="shared" si="48"/>
        <v>0.66866666666666597</v>
      </c>
      <c r="C187" s="3">
        <f t="shared" si="49"/>
        <v>0.66466666666666596</v>
      </c>
      <c r="D187" s="1">
        <f t="shared" si="50"/>
        <v>0.74169170670190343</v>
      </c>
      <c r="E187" s="1">
        <f t="shared" si="51"/>
        <v>0.75835829305716396</v>
      </c>
      <c r="F187" s="1">
        <f t="shared" si="52"/>
        <v>0.74190548933752276</v>
      </c>
      <c r="G187" s="1">
        <f t="shared" si="53"/>
        <v>0.75812740447883376</v>
      </c>
      <c r="H187">
        <f t="shared" si="54"/>
        <v>-2.1378263561933064E-4</v>
      </c>
      <c r="I187">
        <f t="shared" si="55"/>
        <v>2.3088857833020171E-4</v>
      </c>
      <c r="J187">
        <f t="shared" si="56"/>
        <v>1</v>
      </c>
      <c r="K187">
        <f t="shared" si="57"/>
        <v>0</v>
      </c>
      <c r="L187">
        <f t="shared" si="58"/>
        <v>1.4959445212146723</v>
      </c>
      <c r="M187">
        <f t="shared" si="59"/>
        <v>1.5040554787853277</v>
      </c>
      <c r="O187">
        <v>19</v>
      </c>
    </row>
    <row r="188" spans="2:15" x14ac:dyDescent="0.25">
      <c r="B188" s="3">
        <f t="shared" si="48"/>
        <v>0.66566666666666596</v>
      </c>
      <c r="C188" s="3">
        <f t="shared" si="49"/>
        <v>0.66766666666666596</v>
      </c>
      <c r="D188" s="1">
        <f t="shared" si="50"/>
        <v>0.75417291163948308</v>
      </c>
      <c r="E188" s="1">
        <f t="shared" si="51"/>
        <v>0.74583958834545949</v>
      </c>
      <c r="F188" s="1">
        <f t="shared" si="52"/>
        <v>0.75405964820649474</v>
      </c>
      <c r="G188" s="1">
        <f t="shared" si="53"/>
        <v>0.74594857548109972</v>
      </c>
      <c r="H188">
        <f t="shared" si="54"/>
        <v>1.1326343298834196E-4</v>
      </c>
      <c r="I188">
        <f t="shared" si="55"/>
        <v>-1.0898713564022611E-4</v>
      </c>
      <c r="J188">
        <f t="shared" si="56"/>
        <v>0</v>
      </c>
      <c r="K188">
        <f t="shared" si="57"/>
        <v>1</v>
      </c>
      <c r="L188">
        <f t="shared" si="58"/>
        <v>1.5020277681813485</v>
      </c>
      <c r="M188">
        <f t="shared" si="59"/>
        <v>1.497972231818651</v>
      </c>
      <c r="O188">
        <v>20</v>
      </c>
    </row>
    <row r="189" spans="2:15" x14ac:dyDescent="0.25">
      <c r="B189" s="3">
        <f t="shared" si="48"/>
        <v>0.66866666666666597</v>
      </c>
      <c r="C189" s="3">
        <f t="shared" si="49"/>
        <v>0.66466666666666596</v>
      </c>
      <c r="D189" s="1">
        <f t="shared" si="50"/>
        <v>0.74169170670190343</v>
      </c>
      <c r="E189" s="1">
        <f t="shared" si="51"/>
        <v>0.75835829305716396</v>
      </c>
      <c r="F189" s="1">
        <f t="shared" si="52"/>
        <v>0.74190548933752276</v>
      </c>
      <c r="G189" s="1">
        <f t="shared" si="53"/>
        <v>0.75812740447883376</v>
      </c>
      <c r="H189">
        <f t="shared" si="54"/>
        <v>-2.1378263561933064E-4</v>
      </c>
      <c r="I189">
        <f t="shared" si="55"/>
        <v>2.3088857833020171E-4</v>
      </c>
      <c r="J189">
        <f t="shared" si="56"/>
        <v>1</v>
      </c>
      <c r="K189">
        <f t="shared" si="57"/>
        <v>0</v>
      </c>
      <c r="L189">
        <f t="shared" si="58"/>
        <v>1.4959445212146723</v>
      </c>
      <c r="M189">
        <f t="shared" si="59"/>
        <v>1.5040554787853277</v>
      </c>
      <c r="O189">
        <v>21</v>
      </c>
    </row>
    <row r="190" spans="2:15" x14ac:dyDescent="0.25">
      <c r="B190" s="3">
        <f t="shared" si="48"/>
        <v>0.66566666666666596</v>
      </c>
      <c r="C190" s="3">
        <f t="shared" si="49"/>
        <v>0.66766666666666596</v>
      </c>
      <c r="D190" s="1">
        <f t="shared" si="50"/>
        <v>0.75417291163948308</v>
      </c>
      <c r="E190" s="1">
        <f t="shared" si="51"/>
        <v>0.74583958834545949</v>
      </c>
      <c r="F190" s="1">
        <f t="shared" si="52"/>
        <v>0.75405964820649474</v>
      </c>
      <c r="G190" s="1">
        <f t="shared" si="53"/>
        <v>0.74594857548109972</v>
      </c>
      <c r="H190">
        <f t="shared" si="54"/>
        <v>1.1326343298834196E-4</v>
      </c>
      <c r="I190">
        <f t="shared" si="55"/>
        <v>-1.0898713564022611E-4</v>
      </c>
      <c r="J190">
        <f t="shared" si="56"/>
        <v>0</v>
      </c>
      <c r="K190">
        <f t="shared" si="57"/>
        <v>1</v>
      </c>
      <c r="L190">
        <f t="shared" si="58"/>
        <v>1.5020277681813485</v>
      </c>
      <c r="M190">
        <f t="shared" si="59"/>
        <v>1.497972231818651</v>
      </c>
      <c r="O190">
        <v>22</v>
      </c>
    </row>
    <row r="191" spans="2:15" x14ac:dyDescent="0.25">
      <c r="B191" s="3">
        <f t="shared" si="48"/>
        <v>0.66866666666666597</v>
      </c>
      <c r="C191" s="3">
        <f t="shared" si="49"/>
        <v>0.66466666666666596</v>
      </c>
      <c r="D191" s="1">
        <f t="shared" si="50"/>
        <v>0.74169170670190343</v>
      </c>
      <c r="E191" s="1">
        <f t="shared" si="51"/>
        <v>0.75835829305716396</v>
      </c>
      <c r="F191" s="1">
        <f t="shared" si="52"/>
        <v>0.74190548933752276</v>
      </c>
      <c r="G191" s="1">
        <f t="shared" si="53"/>
        <v>0.75812740447883376</v>
      </c>
      <c r="H191">
        <f t="shared" si="54"/>
        <v>-2.1378263561933064E-4</v>
      </c>
      <c r="I191">
        <f t="shared" si="55"/>
        <v>2.3088857833020171E-4</v>
      </c>
      <c r="J191">
        <f t="shared" si="56"/>
        <v>1</v>
      </c>
      <c r="K191">
        <f t="shared" si="57"/>
        <v>0</v>
      </c>
      <c r="L191">
        <f t="shared" si="58"/>
        <v>1.4959445212146723</v>
      </c>
      <c r="M191">
        <f t="shared" si="59"/>
        <v>1.5040554787853277</v>
      </c>
      <c r="O191">
        <v>23</v>
      </c>
    </row>
    <row r="192" spans="2:15" x14ac:dyDescent="0.25">
      <c r="B192" s="3">
        <f t="shared" si="48"/>
        <v>0.66566666666666596</v>
      </c>
      <c r="C192" s="3">
        <f t="shared" si="49"/>
        <v>0.66766666666666596</v>
      </c>
      <c r="D192" s="1">
        <f t="shared" si="50"/>
        <v>0.75417291163948308</v>
      </c>
      <c r="E192" s="1">
        <f t="shared" si="51"/>
        <v>0.74583958834545949</v>
      </c>
      <c r="F192" s="1">
        <f t="shared" si="52"/>
        <v>0.75405964820649474</v>
      </c>
      <c r="G192" s="1">
        <f t="shared" si="53"/>
        <v>0.74594857548109972</v>
      </c>
      <c r="H192">
        <f t="shared" si="54"/>
        <v>1.1326343298834196E-4</v>
      </c>
      <c r="I192">
        <f t="shared" si="55"/>
        <v>-1.0898713564022611E-4</v>
      </c>
      <c r="J192">
        <f t="shared" si="56"/>
        <v>0</v>
      </c>
      <c r="K192">
        <f t="shared" si="57"/>
        <v>1</v>
      </c>
      <c r="L192">
        <f t="shared" si="58"/>
        <v>1.5020277681813485</v>
      </c>
      <c r="M192">
        <f t="shared" si="59"/>
        <v>1.497972231818651</v>
      </c>
      <c r="O192">
        <v>24</v>
      </c>
    </row>
    <row r="193" spans="2:15" x14ac:dyDescent="0.25">
      <c r="B193" s="3">
        <f t="shared" si="48"/>
        <v>0.66866666666666597</v>
      </c>
      <c r="C193" s="3">
        <f t="shared" si="49"/>
        <v>0.66466666666666596</v>
      </c>
      <c r="D193" s="1">
        <f t="shared" si="50"/>
        <v>0.74169170670190343</v>
      </c>
      <c r="E193" s="1">
        <f t="shared" si="51"/>
        <v>0.75835829305716396</v>
      </c>
      <c r="F193" s="1">
        <f t="shared" si="52"/>
        <v>0.74190548933752276</v>
      </c>
      <c r="G193" s="1">
        <f t="shared" si="53"/>
        <v>0.75812740447883376</v>
      </c>
      <c r="H193">
        <f t="shared" si="54"/>
        <v>-2.1378263561933064E-4</v>
      </c>
      <c r="I193">
        <f t="shared" si="55"/>
        <v>2.3088857833020171E-4</v>
      </c>
      <c r="J193">
        <f t="shared" si="56"/>
        <v>1</v>
      </c>
      <c r="K193">
        <f t="shared" si="57"/>
        <v>0</v>
      </c>
      <c r="L193">
        <f t="shared" si="58"/>
        <v>1.4959445212146723</v>
      </c>
      <c r="M193">
        <f t="shared" si="59"/>
        <v>1.5040554787853277</v>
      </c>
      <c r="O193">
        <v>25</v>
      </c>
    </row>
    <row r="194" spans="2:15" x14ac:dyDescent="0.25">
      <c r="B194" s="3">
        <f t="shared" si="48"/>
        <v>0.66566666666666596</v>
      </c>
      <c r="C194" s="3">
        <f t="shared" si="49"/>
        <v>0.66766666666666596</v>
      </c>
      <c r="D194" s="1">
        <f t="shared" si="50"/>
        <v>0.75417291163948308</v>
      </c>
      <c r="E194" s="1">
        <f t="shared" si="51"/>
        <v>0.74583958834545949</v>
      </c>
      <c r="F194" s="1">
        <f t="shared" si="52"/>
        <v>0.75405964820649474</v>
      </c>
      <c r="G194" s="1">
        <f t="shared" si="53"/>
        <v>0.74594857548109972</v>
      </c>
      <c r="H194">
        <f t="shared" si="54"/>
        <v>1.1326343298834196E-4</v>
      </c>
      <c r="I194">
        <f t="shared" si="55"/>
        <v>-1.0898713564022611E-4</v>
      </c>
      <c r="J194">
        <f t="shared" si="56"/>
        <v>0</v>
      </c>
      <c r="K194">
        <f t="shared" si="57"/>
        <v>1</v>
      </c>
      <c r="L194">
        <f t="shared" si="58"/>
        <v>1.5020277681813485</v>
      </c>
      <c r="M194">
        <f t="shared" si="59"/>
        <v>1.497972231818651</v>
      </c>
      <c r="O194">
        <v>26</v>
      </c>
    </row>
    <row r="195" spans="2:15" x14ac:dyDescent="0.25">
      <c r="B195" s="3">
        <f t="shared" si="48"/>
        <v>0.66866666666666597</v>
      </c>
      <c r="C195" s="3">
        <f t="shared" si="49"/>
        <v>0.66466666666666596</v>
      </c>
      <c r="D195" s="1">
        <f t="shared" si="50"/>
        <v>0.74169170670190343</v>
      </c>
      <c r="E195" s="1">
        <f t="shared" si="51"/>
        <v>0.75835829305716396</v>
      </c>
      <c r="F195" s="1">
        <f t="shared" si="52"/>
        <v>0.74190548933752276</v>
      </c>
      <c r="G195" s="1">
        <f t="shared" si="53"/>
        <v>0.75812740447883376</v>
      </c>
      <c r="H195">
        <f t="shared" si="54"/>
        <v>-2.1378263561933064E-4</v>
      </c>
      <c r="I195">
        <f t="shared" si="55"/>
        <v>2.3088857833020171E-4</v>
      </c>
      <c r="J195">
        <f t="shared" si="56"/>
        <v>1</v>
      </c>
      <c r="K195">
        <f t="shared" si="57"/>
        <v>0</v>
      </c>
      <c r="L195">
        <f t="shared" si="58"/>
        <v>1.4959445212146723</v>
      </c>
      <c r="M195">
        <f t="shared" si="59"/>
        <v>1.5040554787853277</v>
      </c>
      <c r="O195">
        <v>27</v>
      </c>
    </row>
    <row r="196" spans="2:15" x14ac:dyDescent="0.25">
      <c r="B196" s="3">
        <f t="shared" si="48"/>
        <v>0.66566666666666596</v>
      </c>
      <c r="C196" s="3">
        <f t="shared" si="49"/>
        <v>0.66766666666666596</v>
      </c>
      <c r="D196" s="1">
        <f t="shared" si="50"/>
        <v>0.75417291163948308</v>
      </c>
      <c r="E196" s="1">
        <f t="shared" si="51"/>
        <v>0.74583958834545949</v>
      </c>
      <c r="F196" s="1">
        <f t="shared" si="52"/>
        <v>0.75405964820649474</v>
      </c>
      <c r="G196" s="1">
        <f t="shared" si="53"/>
        <v>0.74594857548109972</v>
      </c>
      <c r="H196">
        <f t="shared" si="54"/>
        <v>1.1326343298834196E-4</v>
      </c>
      <c r="I196">
        <f t="shared" si="55"/>
        <v>-1.0898713564022611E-4</v>
      </c>
      <c r="J196">
        <f t="shared" si="56"/>
        <v>0</v>
      </c>
      <c r="K196">
        <f t="shared" si="57"/>
        <v>1</v>
      </c>
      <c r="L196">
        <f t="shared" si="58"/>
        <v>1.5020277681813485</v>
      </c>
      <c r="M196">
        <f t="shared" si="59"/>
        <v>1.497972231818651</v>
      </c>
      <c r="O196">
        <v>28</v>
      </c>
    </row>
    <row r="197" spans="2:15" x14ac:dyDescent="0.25">
      <c r="B197" s="3">
        <f t="shared" si="48"/>
        <v>0.66866666666666597</v>
      </c>
      <c r="C197" s="3">
        <f t="shared" si="49"/>
        <v>0.66466666666666596</v>
      </c>
      <c r="D197" s="1">
        <f t="shared" si="50"/>
        <v>0.74169170670190343</v>
      </c>
      <c r="E197" s="1">
        <f t="shared" si="51"/>
        <v>0.75835829305716396</v>
      </c>
      <c r="F197" s="1">
        <f t="shared" si="52"/>
        <v>0.74190548933752276</v>
      </c>
      <c r="G197" s="1">
        <f t="shared" si="53"/>
        <v>0.75812740447883376</v>
      </c>
      <c r="H197">
        <f t="shared" si="54"/>
        <v>-2.1378263561933064E-4</v>
      </c>
      <c r="I197">
        <f t="shared" si="55"/>
        <v>2.3088857833020171E-4</v>
      </c>
      <c r="J197">
        <f t="shared" si="56"/>
        <v>1</v>
      </c>
      <c r="K197">
        <f t="shared" si="57"/>
        <v>0</v>
      </c>
      <c r="L197">
        <f t="shared" si="58"/>
        <v>1.4959445212146723</v>
      </c>
      <c r="M197">
        <f t="shared" si="59"/>
        <v>1.5040554787853277</v>
      </c>
      <c r="O197">
        <v>29</v>
      </c>
    </row>
    <row r="198" spans="2:15" x14ac:dyDescent="0.25">
      <c r="B198" s="3">
        <f t="shared" si="48"/>
        <v>0.66566666666666596</v>
      </c>
      <c r="C198" s="3">
        <f t="shared" si="49"/>
        <v>0.66766666666666596</v>
      </c>
      <c r="D198" s="1">
        <f t="shared" si="50"/>
        <v>0.75417291163948308</v>
      </c>
      <c r="E198" s="1">
        <f t="shared" si="51"/>
        <v>0.74583958834545949</v>
      </c>
      <c r="F198" s="1">
        <f t="shared" si="52"/>
        <v>0.75405964820649474</v>
      </c>
      <c r="G198" s="1">
        <f t="shared" si="53"/>
        <v>0.74594857548109972</v>
      </c>
      <c r="H198">
        <f t="shared" si="54"/>
        <v>1.1326343298834196E-4</v>
      </c>
      <c r="I198">
        <f t="shared" si="55"/>
        <v>-1.0898713564022611E-4</v>
      </c>
      <c r="J198">
        <f t="shared" si="56"/>
        <v>0</v>
      </c>
      <c r="K198">
        <f t="shared" si="57"/>
        <v>1</v>
      </c>
      <c r="L198">
        <f t="shared" si="58"/>
        <v>1.5020277681813485</v>
      </c>
      <c r="M198">
        <f t="shared" si="59"/>
        <v>1.497972231818651</v>
      </c>
      <c r="O198">
        <v>30</v>
      </c>
    </row>
    <row r="199" spans="2:15" x14ac:dyDescent="0.25">
      <c r="B199" s="3">
        <f t="shared" si="48"/>
        <v>0.66866666666666597</v>
      </c>
      <c r="C199" s="3">
        <f t="shared" si="49"/>
        <v>0.66466666666666596</v>
      </c>
      <c r="D199" s="1">
        <f t="shared" si="50"/>
        <v>0.74169170670190343</v>
      </c>
      <c r="E199" s="1">
        <f t="shared" si="51"/>
        <v>0.75835829305716396</v>
      </c>
      <c r="F199" s="1">
        <f t="shared" si="52"/>
        <v>0.74190548933752276</v>
      </c>
      <c r="G199" s="1">
        <f t="shared" si="53"/>
        <v>0.75812740447883376</v>
      </c>
      <c r="H199">
        <f t="shared" si="54"/>
        <v>-2.1378263561933064E-4</v>
      </c>
      <c r="I199">
        <f t="shared" si="55"/>
        <v>2.3088857833020171E-4</v>
      </c>
      <c r="J199">
        <f t="shared" si="56"/>
        <v>1</v>
      </c>
      <c r="K199">
        <f t="shared" si="57"/>
        <v>0</v>
      </c>
      <c r="L199">
        <f t="shared" si="58"/>
        <v>1.4959445212146723</v>
      </c>
      <c r="M199">
        <f t="shared" si="59"/>
        <v>1.5040554787853277</v>
      </c>
      <c r="O199">
        <v>31</v>
      </c>
    </row>
    <row r="200" spans="2:15" x14ac:dyDescent="0.25">
      <c r="B200" s="3">
        <f t="shared" si="48"/>
        <v>0.66566666666666596</v>
      </c>
      <c r="C200" s="3">
        <f t="shared" si="49"/>
        <v>0.66766666666666596</v>
      </c>
      <c r="D200" s="1">
        <f t="shared" si="50"/>
        <v>0.75417291163948308</v>
      </c>
      <c r="E200" s="1">
        <f t="shared" si="51"/>
        <v>0.74583958834545949</v>
      </c>
      <c r="F200" s="1">
        <f t="shared" si="52"/>
        <v>0.75405964820649474</v>
      </c>
      <c r="G200" s="1">
        <f t="shared" si="53"/>
        <v>0.74594857548109972</v>
      </c>
      <c r="H200">
        <f t="shared" si="54"/>
        <v>1.1326343298834196E-4</v>
      </c>
      <c r="I200">
        <f t="shared" si="55"/>
        <v>-1.0898713564022611E-4</v>
      </c>
      <c r="J200">
        <f t="shared" si="56"/>
        <v>0</v>
      </c>
      <c r="K200">
        <f t="shared" si="57"/>
        <v>1</v>
      </c>
      <c r="L200">
        <f t="shared" si="58"/>
        <v>1.5020277681813485</v>
      </c>
      <c r="M200">
        <f t="shared" si="59"/>
        <v>1.497972231818651</v>
      </c>
      <c r="O200">
        <v>32</v>
      </c>
    </row>
    <row r="201" spans="2:15" x14ac:dyDescent="0.25">
      <c r="B201" s="3">
        <f t="shared" si="48"/>
        <v>0.66866666666666597</v>
      </c>
      <c r="C201" s="3">
        <f t="shared" si="49"/>
        <v>0.66466666666666596</v>
      </c>
      <c r="D201" s="1">
        <f t="shared" si="50"/>
        <v>0.74169170670190343</v>
      </c>
      <c r="E201" s="1">
        <f t="shared" si="51"/>
        <v>0.75835829305716396</v>
      </c>
      <c r="F201" s="1">
        <f t="shared" si="52"/>
        <v>0.74190548933752276</v>
      </c>
      <c r="G201" s="1">
        <f t="shared" si="53"/>
        <v>0.75812740447883376</v>
      </c>
      <c r="H201">
        <f t="shared" si="54"/>
        <v>-2.1378263561933064E-4</v>
      </c>
      <c r="I201">
        <f t="shared" si="55"/>
        <v>2.3088857833020171E-4</v>
      </c>
      <c r="J201">
        <f t="shared" si="56"/>
        <v>1</v>
      </c>
      <c r="K201">
        <f t="shared" si="57"/>
        <v>0</v>
      </c>
      <c r="L201">
        <f t="shared" si="58"/>
        <v>1.4959445212146723</v>
      </c>
      <c r="M201">
        <f t="shared" si="59"/>
        <v>1.5040554787853277</v>
      </c>
      <c r="O201">
        <v>33</v>
      </c>
    </row>
    <row r="202" spans="2:15" x14ac:dyDescent="0.25">
      <c r="B202" s="3">
        <f t="shared" si="48"/>
        <v>0.66566666666666596</v>
      </c>
      <c r="C202" s="3">
        <f t="shared" si="49"/>
        <v>0.66766666666666596</v>
      </c>
      <c r="D202" s="1">
        <f t="shared" si="50"/>
        <v>0.75417291163948308</v>
      </c>
      <c r="E202" s="1">
        <f t="shared" si="51"/>
        <v>0.74583958834545949</v>
      </c>
      <c r="F202" s="1">
        <f t="shared" si="52"/>
        <v>0.75405964820649474</v>
      </c>
      <c r="G202" s="1">
        <f t="shared" si="53"/>
        <v>0.74594857548109972</v>
      </c>
      <c r="H202">
        <f t="shared" si="54"/>
        <v>1.1326343298834196E-4</v>
      </c>
      <c r="I202">
        <f t="shared" si="55"/>
        <v>-1.0898713564022611E-4</v>
      </c>
      <c r="J202">
        <f t="shared" si="56"/>
        <v>0</v>
      </c>
      <c r="K202">
        <f t="shared" si="57"/>
        <v>1</v>
      </c>
      <c r="L202">
        <f t="shared" si="58"/>
        <v>1.5020277681813485</v>
      </c>
      <c r="M202">
        <f t="shared" si="59"/>
        <v>1.497972231818651</v>
      </c>
      <c r="O202">
        <v>34</v>
      </c>
    </row>
    <row r="203" spans="2:15" x14ac:dyDescent="0.25">
      <c r="B203" s="3">
        <f t="shared" si="48"/>
        <v>0.66866666666666597</v>
      </c>
      <c r="C203" s="3">
        <f t="shared" si="49"/>
        <v>0.66466666666666596</v>
      </c>
      <c r="D203" s="1">
        <f t="shared" si="50"/>
        <v>0.74169170670190343</v>
      </c>
      <c r="E203" s="1">
        <f t="shared" si="51"/>
        <v>0.75835829305716396</v>
      </c>
      <c r="F203" s="1">
        <f t="shared" si="52"/>
        <v>0.74190548933752276</v>
      </c>
      <c r="G203" s="1">
        <f t="shared" si="53"/>
        <v>0.75812740447883376</v>
      </c>
      <c r="H203">
        <f t="shared" si="54"/>
        <v>-2.1378263561933064E-4</v>
      </c>
      <c r="I203">
        <f t="shared" si="55"/>
        <v>2.3088857833020171E-4</v>
      </c>
      <c r="J203">
        <f t="shared" si="56"/>
        <v>1</v>
      </c>
      <c r="K203">
        <f t="shared" si="57"/>
        <v>0</v>
      </c>
      <c r="L203">
        <f t="shared" si="58"/>
        <v>1.4959445212146723</v>
      </c>
      <c r="M203">
        <f t="shared" si="59"/>
        <v>1.5040554787853277</v>
      </c>
      <c r="O203">
        <v>35</v>
      </c>
    </row>
    <row r="204" spans="2:15" x14ac:dyDescent="0.25">
      <c r="B204" s="3">
        <f t="shared" si="48"/>
        <v>0.66566666666666596</v>
      </c>
      <c r="C204" s="3">
        <f t="shared" si="49"/>
        <v>0.66766666666666596</v>
      </c>
      <c r="D204" s="1">
        <f t="shared" si="50"/>
        <v>0.75417291163948308</v>
      </c>
      <c r="E204" s="1">
        <f t="shared" si="51"/>
        <v>0.74583958834545949</v>
      </c>
      <c r="F204" s="1">
        <f t="shared" si="52"/>
        <v>0.75405964820649474</v>
      </c>
      <c r="G204" s="1">
        <f t="shared" si="53"/>
        <v>0.74594857548109972</v>
      </c>
      <c r="H204">
        <f t="shared" si="54"/>
        <v>1.1326343298834196E-4</v>
      </c>
      <c r="I204">
        <f t="shared" si="55"/>
        <v>-1.0898713564022611E-4</v>
      </c>
      <c r="J204">
        <f t="shared" si="56"/>
        <v>0</v>
      </c>
      <c r="K204">
        <f t="shared" si="57"/>
        <v>1</v>
      </c>
      <c r="L204">
        <f t="shared" si="58"/>
        <v>1.5020277681813485</v>
      </c>
      <c r="M204">
        <f t="shared" si="59"/>
        <v>1.497972231818651</v>
      </c>
      <c r="O204">
        <v>36</v>
      </c>
    </row>
    <row r="205" spans="2:15" x14ac:dyDescent="0.25">
      <c r="B205" s="3">
        <f t="shared" si="48"/>
        <v>0.66866666666666597</v>
      </c>
      <c r="C205" s="3">
        <f t="shared" si="49"/>
        <v>0.66466666666666596</v>
      </c>
      <c r="D205" s="1">
        <f t="shared" si="50"/>
        <v>0.74169170670190343</v>
      </c>
      <c r="E205" s="1">
        <f t="shared" si="51"/>
        <v>0.75835829305716396</v>
      </c>
      <c r="F205" s="1">
        <f t="shared" si="52"/>
        <v>0.74190548933752276</v>
      </c>
      <c r="G205" s="1">
        <f t="shared" si="53"/>
        <v>0.75812740447883376</v>
      </c>
      <c r="H205">
        <f t="shared" si="54"/>
        <v>-2.1378263561933064E-4</v>
      </c>
      <c r="I205">
        <f t="shared" si="55"/>
        <v>2.3088857833020171E-4</v>
      </c>
      <c r="J205">
        <f t="shared" si="56"/>
        <v>1</v>
      </c>
      <c r="K205">
        <f t="shared" si="57"/>
        <v>0</v>
      </c>
      <c r="L205">
        <f t="shared" si="58"/>
        <v>1.4959445212146723</v>
      </c>
      <c r="M205">
        <f t="shared" si="59"/>
        <v>1.5040554787853277</v>
      </c>
      <c r="O205">
        <v>37</v>
      </c>
    </row>
    <row r="206" spans="2:15" x14ac:dyDescent="0.25">
      <c r="B206" s="3">
        <f t="shared" si="48"/>
        <v>0.66566666666666596</v>
      </c>
      <c r="C206" s="3">
        <f t="shared" si="49"/>
        <v>0.66766666666666596</v>
      </c>
      <c r="D206" s="1">
        <f t="shared" si="50"/>
        <v>0.75417291163948308</v>
      </c>
      <c r="E206" s="1">
        <f t="shared" si="51"/>
        <v>0.74583958834545949</v>
      </c>
      <c r="F206" s="1">
        <f t="shared" si="52"/>
        <v>0.75405964820649474</v>
      </c>
      <c r="G206" s="1">
        <f t="shared" si="53"/>
        <v>0.74594857548109972</v>
      </c>
      <c r="H206">
        <f t="shared" si="54"/>
        <v>1.1326343298834196E-4</v>
      </c>
      <c r="I206">
        <f t="shared" si="55"/>
        <v>-1.0898713564022611E-4</v>
      </c>
      <c r="J206">
        <f t="shared" si="56"/>
        <v>0</v>
      </c>
      <c r="K206">
        <f t="shared" si="57"/>
        <v>1</v>
      </c>
      <c r="L206">
        <f t="shared" si="58"/>
        <v>1.5020277681813485</v>
      </c>
      <c r="M206">
        <f t="shared" si="59"/>
        <v>1.497972231818651</v>
      </c>
      <c r="O206">
        <v>38</v>
      </c>
    </row>
    <row r="207" spans="2:15" x14ac:dyDescent="0.25">
      <c r="B207" s="3">
        <f t="shared" si="48"/>
        <v>0.66866666666666597</v>
      </c>
      <c r="C207" s="3">
        <f t="shared" si="49"/>
        <v>0.66466666666666596</v>
      </c>
      <c r="D207" s="1">
        <f t="shared" si="50"/>
        <v>0.74169170670190343</v>
      </c>
      <c r="E207" s="1">
        <f t="shared" si="51"/>
        <v>0.75835829305716396</v>
      </c>
      <c r="F207" s="1">
        <f t="shared" si="52"/>
        <v>0.74190548933752276</v>
      </c>
      <c r="G207" s="1">
        <f t="shared" si="53"/>
        <v>0.75812740447883376</v>
      </c>
      <c r="H207">
        <f t="shared" si="54"/>
        <v>-2.1378263561933064E-4</v>
      </c>
      <c r="I207">
        <f t="shared" si="55"/>
        <v>2.3088857833020171E-4</v>
      </c>
      <c r="J207">
        <f t="shared" si="56"/>
        <v>1</v>
      </c>
      <c r="K207">
        <f t="shared" si="57"/>
        <v>0</v>
      </c>
      <c r="L207">
        <f t="shared" si="58"/>
        <v>1.4959445212146723</v>
      </c>
      <c r="M207">
        <f t="shared" si="59"/>
        <v>1.5040554787853277</v>
      </c>
      <c r="O207">
        <v>39</v>
      </c>
    </row>
    <row r="208" spans="2:15" x14ac:dyDescent="0.25">
      <c r="B208" s="3">
        <f t="shared" si="48"/>
        <v>0.66566666666666596</v>
      </c>
      <c r="C208" s="3">
        <f t="shared" si="49"/>
        <v>0.66766666666666596</v>
      </c>
      <c r="D208" s="1">
        <f t="shared" si="50"/>
        <v>0.75417291163948308</v>
      </c>
      <c r="E208" s="1">
        <f t="shared" si="51"/>
        <v>0.74583958834545949</v>
      </c>
      <c r="F208" s="1">
        <f t="shared" si="52"/>
        <v>0.75405964820649474</v>
      </c>
      <c r="G208" s="1">
        <f t="shared" si="53"/>
        <v>0.74594857548109972</v>
      </c>
      <c r="H208">
        <f t="shared" si="54"/>
        <v>1.1326343298834196E-4</v>
      </c>
      <c r="I208">
        <f t="shared" si="55"/>
        <v>-1.0898713564022611E-4</v>
      </c>
      <c r="J208">
        <f t="shared" si="56"/>
        <v>0</v>
      </c>
      <c r="K208">
        <f t="shared" si="57"/>
        <v>1</v>
      </c>
      <c r="L208">
        <f t="shared" si="58"/>
        <v>1.5020277681813485</v>
      </c>
      <c r="M208">
        <f t="shared" si="59"/>
        <v>1.497972231818651</v>
      </c>
      <c r="O208">
        <v>40</v>
      </c>
    </row>
    <row r="209" spans="2:15" x14ac:dyDescent="0.25">
      <c r="B209" s="3">
        <f t="shared" si="48"/>
        <v>0.66866666666666597</v>
      </c>
      <c r="C209" s="3">
        <f t="shared" si="49"/>
        <v>0.66466666666666596</v>
      </c>
      <c r="D209" s="1">
        <f t="shared" si="50"/>
        <v>0.74169170670190343</v>
      </c>
      <c r="E209" s="1">
        <f t="shared" si="51"/>
        <v>0.75835829305716396</v>
      </c>
      <c r="F209" s="1">
        <f t="shared" si="52"/>
        <v>0.74190548933752276</v>
      </c>
      <c r="G209" s="1">
        <f t="shared" si="53"/>
        <v>0.75812740447883376</v>
      </c>
      <c r="H209">
        <f t="shared" si="54"/>
        <v>-2.1378263561933064E-4</v>
      </c>
      <c r="I209">
        <f t="shared" si="55"/>
        <v>2.3088857833020171E-4</v>
      </c>
      <c r="J209">
        <f t="shared" si="56"/>
        <v>1</v>
      </c>
      <c r="K209">
        <f t="shared" si="57"/>
        <v>0</v>
      </c>
      <c r="L209">
        <f t="shared" si="58"/>
        <v>1.4959445212146723</v>
      </c>
      <c r="M209">
        <f t="shared" si="59"/>
        <v>1.5040554787853277</v>
      </c>
      <c r="O209">
        <v>41</v>
      </c>
    </row>
    <row r="210" spans="2:15" x14ac:dyDescent="0.25">
      <c r="B210" s="3">
        <f t="shared" si="48"/>
        <v>0.66566666666666596</v>
      </c>
      <c r="C210" s="3">
        <f t="shared" si="49"/>
        <v>0.66766666666666596</v>
      </c>
      <c r="D210" s="1">
        <f t="shared" si="50"/>
        <v>0.75417291163948308</v>
      </c>
      <c r="E210" s="1">
        <f t="shared" si="51"/>
        <v>0.74583958834545949</v>
      </c>
      <c r="F210" s="1">
        <f t="shared" si="52"/>
        <v>0.75405964820649474</v>
      </c>
      <c r="G210" s="1">
        <f t="shared" si="53"/>
        <v>0.74594857548109972</v>
      </c>
      <c r="H210">
        <f t="shared" si="54"/>
        <v>1.1326343298834196E-4</v>
      </c>
      <c r="I210">
        <f t="shared" si="55"/>
        <v>-1.0898713564022611E-4</v>
      </c>
      <c r="J210">
        <f t="shared" si="56"/>
        <v>0</v>
      </c>
      <c r="K210">
        <f t="shared" si="57"/>
        <v>1</v>
      </c>
      <c r="L210">
        <f t="shared" si="58"/>
        <v>1.5020277681813485</v>
      </c>
      <c r="M210">
        <f t="shared" si="59"/>
        <v>1.497972231818651</v>
      </c>
      <c r="O210">
        <v>42</v>
      </c>
    </row>
    <row r="211" spans="2:15" x14ac:dyDescent="0.25">
      <c r="B211" s="3">
        <f t="shared" si="48"/>
        <v>0.66866666666666597</v>
      </c>
      <c r="C211" s="3">
        <f t="shared" si="49"/>
        <v>0.66466666666666596</v>
      </c>
      <c r="D211" s="1">
        <f t="shared" si="50"/>
        <v>0.74169170670190343</v>
      </c>
      <c r="E211" s="1">
        <f t="shared" si="51"/>
        <v>0.75835829305716396</v>
      </c>
      <c r="F211" s="1">
        <f t="shared" si="52"/>
        <v>0.74190548933752276</v>
      </c>
      <c r="G211" s="1">
        <f t="shared" si="53"/>
        <v>0.75812740447883376</v>
      </c>
      <c r="H211">
        <f t="shared" si="54"/>
        <v>-2.1378263561933064E-4</v>
      </c>
      <c r="I211">
        <f t="shared" si="55"/>
        <v>2.3088857833020171E-4</v>
      </c>
      <c r="J211">
        <f t="shared" si="56"/>
        <v>1</v>
      </c>
      <c r="K211">
        <f t="shared" si="57"/>
        <v>0</v>
      </c>
      <c r="L211">
        <f t="shared" si="58"/>
        <v>1.4959445212146723</v>
      </c>
      <c r="M211">
        <f t="shared" si="59"/>
        <v>1.5040554787853277</v>
      </c>
      <c r="O211">
        <v>43</v>
      </c>
    </row>
    <row r="212" spans="2:15" x14ac:dyDescent="0.25">
      <c r="B212" s="3">
        <f t="shared" si="48"/>
        <v>0.66566666666666596</v>
      </c>
      <c r="C212" s="3">
        <f t="shared" si="49"/>
        <v>0.66766666666666596</v>
      </c>
      <c r="D212" s="1">
        <f t="shared" si="50"/>
        <v>0.75417291163948308</v>
      </c>
      <c r="E212" s="1">
        <f t="shared" si="51"/>
        <v>0.74583958834545949</v>
      </c>
      <c r="F212" s="1">
        <f t="shared" si="52"/>
        <v>0.75405964820649474</v>
      </c>
      <c r="G212" s="1">
        <f t="shared" si="53"/>
        <v>0.74594857548109972</v>
      </c>
      <c r="H212">
        <f t="shared" si="54"/>
        <v>1.1326343298834196E-4</v>
      </c>
      <c r="I212">
        <f t="shared" si="55"/>
        <v>-1.0898713564022611E-4</v>
      </c>
      <c r="J212">
        <f t="shared" si="56"/>
        <v>0</v>
      </c>
      <c r="K212">
        <f t="shared" si="57"/>
        <v>1</v>
      </c>
      <c r="L212">
        <f t="shared" si="58"/>
        <v>1.5020277681813485</v>
      </c>
      <c r="M212">
        <f t="shared" si="59"/>
        <v>1.497972231818651</v>
      </c>
      <c r="O212">
        <v>44</v>
      </c>
    </row>
    <row r="213" spans="2:15" x14ac:dyDescent="0.25">
      <c r="B213" s="3">
        <f t="shared" si="48"/>
        <v>0.66866666666666597</v>
      </c>
      <c r="C213" s="3">
        <f t="shared" si="49"/>
        <v>0.66466666666666596</v>
      </c>
      <c r="D213" s="1">
        <f t="shared" si="50"/>
        <v>0.74169170670190343</v>
      </c>
      <c r="E213" s="1">
        <f t="shared" si="51"/>
        <v>0.75835829305716396</v>
      </c>
      <c r="F213" s="1">
        <f t="shared" si="52"/>
        <v>0.74190548933752276</v>
      </c>
      <c r="G213" s="1">
        <f t="shared" si="53"/>
        <v>0.75812740447883376</v>
      </c>
      <c r="H213">
        <f t="shared" si="54"/>
        <v>-2.1378263561933064E-4</v>
      </c>
      <c r="I213">
        <f t="shared" si="55"/>
        <v>2.3088857833020171E-4</v>
      </c>
      <c r="J213">
        <f t="shared" si="56"/>
        <v>1</v>
      </c>
      <c r="K213">
        <f t="shared" si="57"/>
        <v>0</v>
      </c>
      <c r="L213">
        <f t="shared" si="58"/>
        <v>1.4959445212146723</v>
      </c>
      <c r="M213">
        <f t="shared" si="59"/>
        <v>1.5040554787853277</v>
      </c>
      <c r="O213">
        <v>45</v>
      </c>
    </row>
    <row r="214" spans="2:15" x14ac:dyDescent="0.25">
      <c r="B214" s="3">
        <f t="shared" si="48"/>
        <v>0.66566666666666596</v>
      </c>
      <c r="C214" s="3">
        <f t="shared" si="49"/>
        <v>0.66766666666666596</v>
      </c>
      <c r="D214" s="1">
        <f t="shared" si="50"/>
        <v>0.75417291163948308</v>
      </c>
      <c r="E214" s="1">
        <f t="shared" si="51"/>
        <v>0.74583958834545949</v>
      </c>
      <c r="F214" s="1">
        <f t="shared" si="52"/>
        <v>0.75405964820649474</v>
      </c>
      <c r="G214" s="1">
        <f t="shared" si="53"/>
        <v>0.74594857548109972</v>
      </c>
      <c r="H214">
        <f t="shared" si="54"/>
        <v>1.1326343298834196E-4</v>
      </c>
      <c r="I214">
        <f t="shared" si="55"/>
        <v>-1.0898713564022611E-4</v>
      </c>
      <c r="J214">
        <f t="shared" si="56"/>
        <v>0</v>
      </c>
      <c r="K214">
        <f t="shared" si="57"/>
        <v>1</v>
      </c>
      <c r="L214">
        <f t="shared" si="58"/>
        <v>1.5020277681813485</v>
      </c>
      <c r="M214">
        <f t="shared" si="59"/>
        <v>1.497972231818651</v>
      </c>
      <c r="O214">
        <v>46</v>
      </c>
    </row>
    <row r="215" spans="2:15" x14ac:dyDescent="0.25">
      <c r="B215" s="3">
        <f t="shared" si="48"/>
        <v>0.66866666666666597</v>
      </c>
      <c r="C215" s="3">
        <f t="shared" si="49"/>
        <v>0.66466666666666596</v>
      </c>
      <c r="D215" s="1">
        <f t="shared" si="50"/>
        <v>0.74169170670190343</v>
      </c>
      <c r="E215" s="1">
        <f t="shared" si="51"/>
        <v>0.75835829305716396</v>
      </c>
      <c r="F215" s="1">
        <f t="shared" si="52"/>
        <v>0.74190548933752276</v>
      </c>
      <c r="G215" s="1">
        <f t="shared" si="53"/>
        <v>0.75812740447883376</v>
      </c>
      <c r="H215">
        <f t="shared" si="54"/>
        <v>-2.1378263561933064E-4</v>
      </c>
      <c r="I215">
        <f t="shared" si="55"/>
        <v>2.3088857833020171E-4</v>
      </c>
      <c r="J215">
        <f t="shared" si="56"/>
        <v>1</v>
      </c>
      <c r="K215">
        <f t="shared" si="57"/>
        <v>0</v>
      </c>
      <c r="L215">
        <f t="shared" si="58"/>
        <v>1.4959445212146723</v>
      </c>
      <c r="M215">
        <f t="shared" si="59"/>
        <v>1.5040554787853277</v>
      </c>
      <c r="O215">
        <v>47</v>
      </c>
    </row>
    <row r="216" spans="2:15" x14ac:dyDescent="0.25">
      <c r="B216" s="3">
        <f t="shared" si="48"/>
        <v>0.66566666666666596</v>
      </c>
      <c r="C216" s="3">
        <f t="shared" si="49"/>
        <v>0.66766666666666596</v>
      </c>
      <c r="D216" s="1">
        <f t="shared" si="50"/>
        <v>0.75417291163948308</v>
      </c>
      <c r="E216" s="1">
        <f t="shared" si="51"/>
        <v>0.74583958834545949</v>
      </c>
      <c r="F216" s="1">
        <f t="shared" si="52"/>
        <v>0.75405964820649474</v>
      </c>
      <c r="G216" s="1">
        <f t="shared" si="53"/>
        <v>0.74594857548109972</v>
      </c>
      <c r="H216">
        <f t="shared" si="54"/>
        <v>1.1326343298834196E-4</v>
      </c>
      <c r="I216">
        <f t="shared" si="55"/>
        <v>-1.0898713564022611E-4</v>
      </c>
      <c r="J216">
        <f t="shared" si="56"/>
        <v>0</v>
      </c>
      <c r="K216">
        <f t="shared" si="57"/>
        <v>1</v>
      </c>
      <c r="L216">
        <f t="shared" si="58"/>
        <v>1.5020277681813485</v>
      </c>
      <c r="M216">
        <f t="shared" si="59"/>
        <v>1.497972231818651</v>
      </c>
      <c r="O216">
        <v>48</v>
      </c>
    </row>
    <row r="217" spans="2:15" x14ac:dyDescent="0.25">
      <c r="B217" s="3">
        <f t="shared" si="48"/>
        <v>0.66866666666666597</v>
      </c>
      <c r="C217" s="3">
        <f t="shared" si="49"/>
        <v>0.66466666666666596</v>
      </c>
      <c r="D217" s="1">
        <f t="shared" si="50"/>
        <v>0.74169170670190343</v>
      </c>
      <c r="E217" s="1">
        <f t="shared" si="51"/>
        <v>0.75835829305716396</v>
      </c>
      <c r="F217" s="1">
        <f t="shared" si="52"/>
        <v>0.74190548933752276</v>
      </c>
      <c r="G217" s="1">
        <f t="shared" si="53"/>
        <v>0.75812740447883376</v>
      </c>
      <c r="H217">
        <f t="shared" si="54"/>
        <v>-2.1378263561933064E-4</v>
      </c>
      <c r="I217">
        <f t="shared" si="55"/>
        <v>2.3088857833020171E-4</v>
      </c>
      <c r="J217">
        <f t="shared" si="56"/>
        <v>1</v>
      </c>
      <c r="K217">
        <f t="shared" si="57"/>
        <v>0</v>
      </c>
      <c r="L217">
        <f t="shared" si="58"/>
        <v>1.4959445212146723</v>
      </c>
      <c r="M217">
        <f t="shared" si="59"/>
        <v>1.5040554787853277</v>
      </c>
      <c r="O217">
        <v>49</v>
      </c>
    </row>
    <row r="218" spans="2:15" x14ac:dyDescent="0.25">
      <c r="B218" s="3">
        <f t="shared" si="48"/>
        <v>0.66566666666666596</v>
      </c>
      <c r="C218" s="3">
        <f t="shared" si="49"/>
        <v>0.66766666666666596</v>
      </c>
      <c r="D218" s="1">
        <f t="shared" si="50"/>
        <v>0.75417291163948308</v>
      </c>
      <c r="E218" s="1">
        <f t="shared" si="51"/>
        <v>0.74583958834545949</v>
      </c>
      <c r="F218" s="1">
        <f t="shared" si="52"/>
        <v>0.75405964820649474</v>
      </c>
      <c r="G218" s="1">
        <f t="shared" si="53"/>
        <v>0.74594857548109972</v>
      </c>
      <c r="H218">
        <f t="shared" si="54"/>
        <v>1.1326343298834196E-4</v>
      </c>
      <c r="I218">
        <f t="shared" si="55"/>
        <v>-1.0898713564022611E-4</v>
      </c>
      <c r="J218">
        <f t="shared" si="56"/>
        <v>0</v>
      </c>
      <c r="K218">
        <f t="shared" si="57"/>
        <v>1</v>
      </c>
      <c r="L218">
        <f t="shared" si="58"/>
        <v>1.5020277681813485</v>
      </c>
      <c r="M218">
        <f t="shared" si="59"/>
        <v>1.497972231818651</v>
      </c>
      <c r="O218">
        <v>50</v>
      </c>
    </row>
    <row r="219" spans="2:15" x14ac:dyDescent="0.25">
      <c r="B219" s="3">
        <f t="shared" si="48"/>
        <v>0.66866666666666597</v>
      </c>
      <c r="C219" s="3">
        <f t="shared" si="49"/>
        <v>0.66466666666666596</v>
      </c>
      <c r="D219" s="1">
        <f t="shared" si="50"/>
        <v>0.74169170670190343</v>
      </c>
      <c r="E219" s="1">
        <f t="shared" si="51"/>
        <v>0.75835829305716396</v>
      </c>
      <c r="F219" s="1">
        <f t="shared" si="52"/>
        <v>0.74190548933752276</v>
      </c>
      <c r="G219" s="1">
        <f t="shared" si="53"/>
        <v>0.75812740447883376</v>
      </c>
      <c r="H219">
        <f t="shared" si="54"/>
        <v>-2.1378263561933064E-4</v>
      </c>
      <c r="I219">
        <f t="shared" si="55"/>
        <v>2.3088857833020171E-4</v>
      </c>
      <c r="J219">
        <f t="shared" si="56"/>
        <v>1</v>
      </c>
      <c r="K219">
        <f t="shared" si="57"/>
        <v>0</v>
      </c>
      <c r="L219">
        <f t="shared" si="58"/>
        <v>1.4959445212146723</v>
      </c>
      <c r="M219">
        <f t="shared" si="59"/>
        <v>1.5040554787853277</v>
      </c>
      <c r="O219">
        <v>51</v>
      </c>
    </row>
    <row r="220" spans="2:15" x14ac:dyDescent="0.25">
      <c r="B220" s="3">
        <f t="shared" si="48"/>
        <v>0.66566666666666596</v>
      </c>
      <c r="C220" s="3">
        <f t="shared" si="49"/>
        <v>0.66766666666666596</v>
      </c>
      <c r="D220" s="1">
        <f t="shared" si="50"/>
        <v>0.75417291163948308</v>
      </c>
      <c r="E220" s="1">
        <f t="shared" si="51"/>
        <v>0.74583958834545949</v>
      </c>
      <c r="F220" s="1">
        <f t="shared" si="52"/>
        <v>0.75405964820649474</v>
      </c>
      <c r="G220" s="1">
        <f t="shared" si="53"/>
        <v>0.74594857548109972</v>
      </c>
      <c r="H220">
        <f t="shared" si="54"/>
        <v>1.1326343298834196E-4</v>
      </c>
      <c r="I220">
        <f t="shared" si="55"/>
        <v>-1.0898713564022611E-4</v>
      </c>
      <c r="J220">
        <f t="shared" si="56"/>
        <v>0</v>
      </c>
      <c r="K220">
        <f t="shared" si="57"/>
        <v>1</v>
      </c>
      <c r="L220">
        <f t="shared" si="58"/>
        <v>1.5020277681813485</v>
      </c>
      <c r="M220">
        <f t="shared" si="59"/>
        <v>1.497972231818651</v>
      </c>
      <c r="O220">
        <v>52</v>
      </c>
    </row>
    <row r="221" spans="2:15" x14ac:dyDescent="0.25">
      <c r="B221" s="3">
        <f t="shared" si="48"/>
        <v>0.66866666666666597</v>
      </c>
      <c r="C221" s="3">
        <f t="shared" si="49"/>
        <v>0.66466666666666596</v>
      </c>
      <c r="D221" s="1">
        <f t="shared" si="50"/>
        <v>0.74169170670190343</v>
      </c>
      <c r="E221" s="1">
        <f t="shared" si="51"/>
        <v>0.75835829305716396</v>
      </c>
      <c r="F221" s="1">
        <f t="shared" si="52"/>
        <v>0.74190548933752276</v>
      </c>
      <c r="G221" s="1">
        <f t="shared" si="53"/>
        <v>0.75812740447883376</v>
      </c>
      <c r="H221">
        <f t="shared" si="54"/>
        <v>-2.1378263561933064E-4</v>
      </c>
      <c r="I221">
        <f t="shared" si="55"/>
        <v>2.3088857833020171E-4</v>
      </c>
      <c r="J221">
        <f t="shared" si="56"/>
        <v>1</v>
      </c>
      <c r="K221">
        <f t="shared" si="57"/>
        <v>0</v>
      </c>
      <c r="L221">
        <f t="shared" si="58"/>
        <v>1.4959445212146723</v>
      </c>
      <c r="M221">
        <f t="shared" si="59"/>
        <v>1.5040554787853277</v>
      </c>
      <c r="O221">
        <v>53</v>
      </c>
    </row>
    <row r="222" spans="2:15" x14ac:dyDescent="0.25">
      <c r="B222" s="3">
        <f t="shared" si="48"/>
        <v>0.66566666666666596</v>
      </c>
      <c r="C222" s="3">
        <f t="shared" si="49"/>
        <v>0.66766666666666596</v>
      </c>
      <c r="D222" s="1">
        <f t="shared" si="50"/>
        <v>0.75417291163948308</v>
      </c>
      <c r="E222" s="1">
        <f t="shared" si="51"/>
        <v>0.74583958834545949</v>
      </c>
      <c r="F222" s="1">
        <f t="shared" si="52"/>
        <v>0.75405964820649474</v>
      </c>
      <c r="G222" s="1">
        <f t="shared" si="53"/>
        <v>0.74594857548109972</v>
      </c>
      <c r="H222">
        <f t="shared" si="54"/>
        <v>1.1326343298834196E-4</v>
      </c>
      <c r="I222">
        <f t="shared" si="55"/>
        <v>-1.0898713564022611E-4</v>
      </c>
      <c r="J222">
        <f t="shared" si="56"/>
        <v>0</v>
      </c>
      <c r="K222">
        <f t="shared" si="57"/>
        <v>1</v>
      </c>
      <c r="L222">
        <f t="shared" si="58"/>
        <v>1.5020277681813485</v>
      </c>
      <c r="M222">
        <f t="shared" si="59"/>
        <v>1.497972231818651</v>
      </c>
      <c r="O222">
        <v>54</v>
      </c>
    </row>
    <row r="223" spans="2:15" x14ac:dyDescent="0.25">
      <c r="B223" s="3">
        <f t="shared" si="48"/>
        <v>0.66866666666666597</v>
      </c>
      <c r="C223" s="3">
        <f t="shared" si="49"/>
        <v>0.66466666666666596</v>
      </c>
      <c r="D223" s="1">
        <f t="shared" si="50"/>
        <v>0.74169170670190343</v>
      </c>
      <c r="E223" s="1">
        <f t="shared" si="51"/>
        <v>0.75835829305716396</v>
      </c>
      <c r="F223" s="1">
        <f t="shared" si="52"/>
        <v>0.74190548933752276</v>
      </c>
      <c r="G223" s="1">
        <f t="shared" si="53"/>
        <v>0.75812740447883376</v>
      </c>
      <c r="H223">
        <f t="shared" si="54"/>
        <v>-2.1378263561933064E-4</v>
      </c>
      <c r="I223">
        <f t="shared" si="55"/>
        <v>2.3088857833020171E-4</v>
      </c>
      <c r="J223">
        <f t="shared" si="56"/>
        <v>1</v>
      </c>
      <c r="K223">
        <f t="shared" si="57"/>
        <v>0</v>
      </c>
      <c r="L223">
        <f t="shared" si="58"/>
        <v>1.4959445212146723</v>
      </c>
      <c r="M223">
        <f t="shared" si="59"/>
        <v>1.5040554787853277</v>
      </c>
      <c r="O223">
        <v>55</v>
      </c>
    </row>
    <row r="224" spans="2:15" x14ac:dyDescent="0.25">
      <c r="B224" s="3">
        <f t="shared" si="48"/>
        <v>0.66566666666666596</v>
      </c>
      <c r="C224" s="3">
        <f t="shared" si="49"/>
        <v>0.66766666666666596</v>
      </c>
      <c r="D224" s="1">
        <f t="shared" si="50"/>
        <v>0.75417291163948308</v>
      </c>
      <c r="E224" s="1">
        <f t="shared" si="51"/>
        <v>0.74583958834545949</v>
      </c>
      <c r="F224" s="1">
        <f t="shared" si="52"/>
        <v>0.75405964820649474</v>
      </c>
      <c r="G224" s="1">
        <f t="shared" si="53"/>
        <v>0.74594857548109972</v>
      </c>
      <c r="H224">
        <f t="shared" si="54"/>
        <v>1.1326343298834196E-4</v>
      </c>
      <c r="I224">
        <f t="shared" si="55"/>
        <v>-1.0898713564022611E-4</v>
      </c>
      <c r="J224">
        <f t="shared" si="56"/>
        <v>0</v>
      </c>
      <c r="K224">
        <f t="shared" si="57"/>
        <v>1</v>
      </c>
      <c r="L224">
        <f t="shared" si="58"/>
        <v>1.5020277681813485</v>
      </c>
      <c r="M224">
        <f t="shared" si="59"/>
        <v>1.497972231818651</v>
      </c>
      <c r="O224">
        <v>56</v>
      </c>
    </row>
    <row r="225" spans="2:15" x14ac:dyDescent="0.25">
      <c r="B225" s="3">
        <f t="shared" si="48"/>
        <v>0.66866666666666597</v>
      </c>
      <c r="C225" s="3">
        <f t="shared" si="49"/>
        <v>0.66466666666666596</v>
      </c>
      <c r="D225" s="1">
        <f t="shared" si="50"/>
        <v>0.74169170670190343</v>
      </c>
      <c r="E225" s="1">
        <f t="shared" si="51"/>
        <v>0.75835829305716396</v>
      </c>
      <c r="F225" s="1">
        <f t="shared" si="52"/>
        <v>0.74190548933752276</v>
      </c>
      <c r="G225" s="1">
        <f t="shared" si="53"/>
        <v>0.75812740447883376</v>
      </c>
      <c r="H225">
        <f t="shared" si="54"/>
        <v>-2.1378263561933064E-4</v>
      </c>
      <c r="I225">
        <f t="shared" si="55"/>
        <v>2.3088857833020171E-4</v>
      </c>
      <c r="J225">
        <f t="shared" si="56"/>
        <v>1</v>
      </c>
      <c r="K225">
        <f t="shared" si="57"/>
        <v>0</v>
      </c>
      <c r="L225">
        <f t="shared" si="58"/>
        <v>1.4959445212146723</v>
      </c>
      <c r="M225">
        <f t="shared" si="59"/>
        <v>1.5040554787853277</v>
      </c>
      <c r="O225">
        <v>57</v>
      </c>
    </row>
    <row r="226" spans="2:15" x14ac:dyDescent="0.25">
      <c r="B226" s="3">
        <f t="shared" si="48"/>
        <v>0.66566666666666596</v>
      </c>
      <c r="C226" s="3">
        <f t="shared" si="49"/>
        <v>0.66766666666666596</v>
      </c>
      <c r="D226" s="1">
        <f t="shared" si="50"/>
        <v>0.75417291163948308</v>
      </c>
      <c r="E226" s="1">
        <f t="shared" si="51"/>
        <v>0.74583958834545949</v>
      </c>
      <c r="F226" s="1">
        <f t="shared" si="52"/>
        <v>0.75405964820649474</v>
      </c>
      <c r="G226" s="1">
        <f t="shared" si="53"/>
        <v>0.74594857548109972</v>
      </c>
      <c r="H226">
        <f t="shared" si="54"/>
        <v>1.1326343298834196E-4</v>
      </c>
      <c r="I226">
        <f t="shared" si="55"/>
        <v>-1.0898713564022611E-4</v>
      </c>
      <c r="J226">
        <f t="shared" si="56"/>
        <v>0</v>
      </c>
      <c r="K226">
        <f t="shared" si="57"/>
        <v>1</v>
      </c>
      <c r="L226">
        <f t="shared" si="58"/>
        <v>1.5020277681813485</v>
      </c>
      <c r="M226">
        <f t="shared" si="59"/>
        <v>1.497972231818651</v>
      </c>
      <c r="O226">
        <v>58</v>
      </c>
    </row>
    <row r="227" spans="2:15" x14ac:dyDescent="0.25">
      <c r="B227" s="3">
        <f t="shared" si="48"/>
        <v>0.66866666666666597</v>
      </c>
      <c r="C227" s="3">
        <f t="shared" si="49"/>
        <v>0.66466666666666596</v>
      </c>
      <c r="D227" s="1">
        <f t="shared" si="50"/>
        <v>0.74169170670190343</v>
      </c>
      <c r="E227" s="1">
        <f t="shared" si="51"/>
        <v>0.75835829305716396</v>
      </c>
      <c r="F227" s="1">
        <f t="shared" si="52"/>
        <v>0.74190548933752276</v>
      </c>
      <c r="G227" s="1">
        <f t="shared" si="53"/>
        <v>0.75812740447883376</v>
      </c>
      <c r="H227">
        <f t="shared" si="54"/>
        <v>-2.1378263561933064E-4</v>
      </c>
      <c r="I227">
        <f t="shared" si="55"/>
        <v>2.3088857833020171E-4</v>
      </c>
      <c r="J227">
        <f t="shared" si="56"/>
        <v>1</v>
      </c>
      <c r="K227">
        <f t="shared" si="57"/>
        <v>0</v>
      </c>
      <c r="L227">
        <f t="shared" si="58"/>
        <v>1.4959445212146723</v>
      </c>
      <c r="M227">
        <f t="shared" si="59"/>
        <v>1.5040554787853277</v>
      </c>
      <c r="O227">
        <v>59</v>
      </c>
    </row>
    <row r="228" spans="2:15" x14ac:dyDescent="0.25">
      <c r="B228" s="3">
        <f t="shared" si="48"/>
        <v>0.66566666666666596</v>
      </c>
      <c r="C228" s="3">
        <f t="shared" si="49"/>
        <v>0.66766666666666596</v>
      </c>
      <c r="D228" s="1">
        <f t="shared" si="50"/>
        <v>0.75417291163948308</v>
      </c>
      <c r="E228" s="1">
        <f t="shared" si="51"/>
        <v>0.74583958834545949</v>
      </c>
      <c r="F228" s="1">
        <f t="shared" si="52"/>
        <v>0.75405964820649474</v>
      </c>
      <c r="G228" s="1">
        <f t="shared" si="53"/>
        <v>0.74594857548109972</v>
      </c>
      <c r="H228">
        <f t="shared" si="54"/>
        <v>1.1326343298834196E-4</v>
      </c>
      <c r="I228">
        <f t="shared" si="55"/>
        <v>-1.0898713564022611E-4</v>
      </c>
      <c r="J228">
        <f t="shared" si="56"/>
        <v>0</v>
      </c>
      <c r="K228">
        <f t="shared" si="57"/>
        <v>1</v>
      </c>
      <c r="L228">
        <f t="shared" si="58"/>
        <v>1.5020277681813485</v>
      </c>
      <c r="M228">
        <f t="shared" si="59"/>
        <v>1.497972231818651</v>
      </c>
      <c r="O228">
        <v>60</v>
      </c>
    </row>
    <row r="229" spans="2:15" x14ac:dyDescent="0.25">
      <c r="B229" s="3">
        <f t="shared" si="48"/>
        <v>0.66866666666666597</v>
      </c>
      <c r="C229" s="3">
        <f t="shared" si="49"/>
        <v>0.66466666666666596</v>
      </c>
      <c r="D229" s="1">
        <f t="shared" si="50"/>
        <v>0.74169170670190343</v>
      </c>
      <c r="E229" s="1">
        <f t="shared" si="51"/>
        <v>0.75835829305716396</v>
      </c>
      <c r="F229" s="1">
        <f t="shared" si="52"/>
        <v>0.74190548933752276</v>
      </c>
      <c r="G229" s="1">
        <f t="shared" si="53"/>
        <v>0.75812740447883376</v>
      </c>
      <c r="H229">
        <f t="shared" si="54"/>
        <v>-2.1378263561933064E-4</v>
      </c>
      <c r="I229">
        <f t="shared" si="55"/>
        <v>2.3088857833020171E-4</v>
      </c>
      <c r="J229">
        <f t="shared" si="56"/>
        <v>1</v>
      </c>
      <c r="K229">
        <f t="shared" si="57"/>
        <v>0</v>
      </c>
      <c r="L229">
        <f t="shared" si="58"/>
        <v>1.4959445212146723</v>
      </c>
      <c r="M229">
        <f t="shared" si="59"/>
        <v>1.5040554787853277</v>
      </c>
    </row>
    <row r="230" spans="2:15" x14ac:dyDescent="0.25">
      <c r="B230" s="3">
        <f t="shared" si="48"/>
        <v>0.66566666666666596</v>
      </c>
      <c r="C230" s="3">
        <f t="shared" si="49"/>
        <v>0.66766666666666596</v>
      </c>
      <c r="D230" s="1">
        <f t="shared" si="50"/>
        <v>0.75417291163948308</v>
      </c>
      <c r="E230" s="1">
        <f t="shared" si="51"/>
        <v>0.74583958834545949</v>
      </c>
      <c r="F230" s="1">
        <f t="shared" si="52"/>
        <v>0.75405964820649474</v>
      </c>
      <c r="G230" s="1">
        <f t="shared" si="53"/>
        <v>0.74594857548109972</v>
      </c>
      <c r="H230">
        <f t="shared" si="54"/>
        <v>1.1326343298834196E-4</v>
      </c>
      <c r="I230">
        <f t="shared" si="55"/>
        <v>-1.0898713564022611E-4</v>
      </c>
      <c r="J230">
        <f t="shared" si="56"/>
        <v>0</v>
      </c>
      <c r="K230">
        <f t="shared" si="57"/>
        <v>1</v>
      </c>
      <c r="L230">
        <f t="shared" si="58"/>
        <v>1.5020277681813485</v>
      </c>
      <c r="M230">
        <f t="shared" si="59"/>
        <v>1.497972231818651</v>
      </c>
    </row>
    <row r="231" spans="2:15" x14ac:dyDescent="0.25">
      <c r="B231" s="3">
        <f t="shared" si="48"/>
        <v>0.66866666666666597</v>
      </c>
      <c r="C231" s="3">
        <f t="shared" si="49"/>
        <v>0.66466666666666596</v>
      </c>
      <c r="D231" s="1">
        <f t="shared" si="50"/>
        <v>0.74169170670190343</v>
      </c>
      <c r="E231" s="1">
        <f t="shared" si="51"/>
        <v>0.75835829305716396</v>
      </c>
      <c r="F231" s="1">
        <f t="shared" si="52"/>
        <v>0.74190548933752276</v>
      </c>
      <c r="G231" s="1">
        <f t="shared" si="53"/>
        <v>0.75812740447883376</v>
      </c>
      <c r="H231">
        <f t="shared" si="54"/>
        <v>-2.1378263561933064E-4</v>
      </c>
      <c r="I231">
        <f t="shared" si="55"/>
        <v>2.3088857833020171E-4</v>
      </c>
      <c r="J231">
        <f t="shared" si="56"/>
        <v>1</v>
      </c>
      <c r="K231">
        <f t="shared" si="57"/>
        <v>0</v>
      </c>
      <c r="L231">
        <f t="shared" si="58"/>
        <v>1.4959445212146723</v>
      </c>
      <c r="M231">
        <f t="shared" si="59"/>
        <v>1.5040554787853277</v>
      </c>
    </row>
    <row r="232" spans="2:15" x14ac:dyDescent="0.25">
      <c r="B232" s="3">
        <f t="shared" si="48"/>
        <v>0.66566666666666596</v>
      </c>
      <c r="C232" s="3">
        <f t="shared" si="49"/>
        <v>0.66766666666666596</v>
      </c>
      <c r="D232" s="1">
        <f t="shared" si="50"/>
        <v>0.75417291163948308</v>
      </c>
      <c r="E232" s="1">
        <f t="shared" si="51"/>
        <v>0.74583958834545949</v>
      </c>
      <c r="F232" s="1">
        <f t="shared" si="52"/>
        <v>0.75405964820649474</v>
      </c>
      <c r="G232" s="1">
        <f t="shared" si="53"/>
        <v>0.74594857548109972</v>
      </c>
      <c r="H232">
        <f t="shared" si="54"/>
        <v>1.1326343298834196E-4</v>
      </c>
      <c r="I232">
        <f t="shared" si="55"/>
        <v>-1.0898713564022611E-4</v>
      </c>
      <c r="J232">
        <f t="shared" si="56"/>
        <v>0</v>
      </c>
      <c r="K232">
        <f t="shared" si="57"/>
        <v>1</v>
      </c>
      <c r="L232">
        <f t="shared" si="58"/>
        <v>1.5020277681813485</v>
      </c>
      <c r="M232">
        <f t="shared" si="59"/>
        <v>1.497972231818651</v>
      </c>
    </row>
    <row r="233" spans="2:15" x14ac:dyDescent="0.25">
      <c r="B233" s="3">
        <f t="shared" si="48"/>
        <v>0.66866666666666597</v>
      </c>
      <c r="C233" s="3">
        <f t="shared" si="49"/>
        <v>0.66466666666666596</v>
      </c>
      <c r="D233" s="1">
        <f t="shared" si="50"/>
        <v>0.74169170670190343</v>
      </c>
      <c r="E233" s="1">
        <f t="shared" si="51"/>
        <v>0.75835829305716396</v>
      </c>
      <c r="F233" s="1">
        <f t="shared" si="52"/>
        <v>0.74190548933752276</v>
      </c>
      <c r="G233" s="1">
        <f t="shared" si="53"/>
        <v>0.75812740447883376</v>
      </c>
      <c r="H233">
        <f t="shared" si="54"/>
        <v>-2.1378263561933064E-4</v>
      </c>
      <c r="I233">
        <f t="shared" si="55"/>
        <v>2.3088857833020171E-4</v>
      </c>
      <c r="J233">
        <f t="shared" si="56"/>
        <v>1</v>
      </c>
      <c r="K233">
        <f t="shared" si="57"/>
        <v>0</v>
      </c>
      <c r="L233">
        <f t="shared" si="58"/>
        <v>1.4959445212146723</v>
      </c>
      <c r="M233">
        <f t="shared" si="59"/>
        <v>1.5040554787853277</v>
      </c>
    </row>
    <row r="234" spans="2:15" x14ac:dyDescent="0.25">
      <c r="B234" s="3">
        <f t="shared" ref="B234:B289" si="60">IF(J233=1,B233-$A$42,B233+$A$42)</f>
        <v>0.66566666666666596</v>
      </c>
      <c r="C234" s="3">
        <f t="shared" ref="C234:C289" si="61">IF(K233=1,C233-$A$42,C233+$A$42)</f>
        <v>0.66766666666666596</v>
      </c>
      <c r="D234" s="1">
        <f t="shared" ref="D234:D289" si="62">((B234^(1/($B$166-1))*$B$2)/(B234^($B$166/($B$166-1))+C234^($B$166/($B$166-1))))</f>
        <v>0.75417291163948308</v>
      </c>
      <c r="E234" s="1">
        <f t="shared" ref="E234:E289" si="63">((C234^(1/($B$166-1))*$B$2)/(B234^($B$166/($B$166-1))+C234^($B$166/($B$166-1))))</f>
        <v>0.74583958834545949</v>
      </c>
      <c r="F234" s="1">
        <f t="shared" ref="F234:F289" si="64">(B234*D234)^2 + (B234*D234)</f>
        <v>0.75405964820649474</v>
      </c>
      <c r="G234" s="1">
        <f t="shared" ref="G234:G289" si="65">(C234*E234)^2 + (C234*E234)</f>
        <v>0.74594857548109972</v>
      </c>
      <c r="H234">
        <f t="shared" ref="H234:H289" si="66">D234-F234</f>
        <v>1.1326343298834196E-4</v>
      </c>
      <c r="I234">
        <f t="shared" ref="I234:I289" si="67">E234-G234</f>
        <v>-1.0898713564022611E-4</v>
      </c>
      <c r="J234">
        <f t="shared" ref="J234:J289" si="68">IF(H234&lt;0,1,0)</f>
        <v>0</v>
      </c>
      <c r="K234">
        <f t="shared" ref="K234:K289" si="69">IF(I234&lt;0,1,0)</f>
        <v>1</v>
      </c>
      <c r="L234">
        <f t="shared" ref="L234:L289" si="70">F234/(B234*D234)</f>
        <v>1.5020277681813485</v>
      </c>
      <c r="M234">
        <f t="shared" ref="M234:M289" si="71">G234/(C234*E234)</f>
        <v>1.497972231818651</v>
      </c>
    </row>
    <row r="235" spans="2:15" x14ac:dyDescent="0.25">
      <c r="B235" s="3">
        <f t="shared" si="60"/>
        <v>0.66866666666666597</v>
      </c>
      <c r="C235" s="3">
        <f t="shared" si="61"/>
        <v>0.66466666666666596</v>
      </c>
      <c r="D235" s="1">
        <f t="shared" si="62"/>
        <v>0.74169170670190343</v>
      </c>
      <c r="E235" s="1">
        <f t="shared" si="63"/>
        <v>0.75835829305716396</v>
      </c>
      <c r="F235" s="1">
        <f t="shared" si="64"/>
        <v>0.74190548933752276</v>
      </c>
      <c r="G235" s="1">
        <f t="shared" si="65"/>
        <v>0.75812740447883376</v>
      </c>
      <c r="H235">
        <f t="shared" si="66"/>
        <v>-2.1378263561933064E-4</v>
      </c>
      <c r="I235">
        <f t="shared" si="67"/>
        <v>2.3088857833020171E-4</v>
      </c>
      <c r="J235">
        <f t="shared" si="68"/>
        <v>1</v>
      </c>
      <c r="K235">
        <f t="shared" si="69"/>
        <v>0</v>
      </c>
      <c r="L235">
        <f t="shared" si="70"/>
        <v>1.4959445212146723</v>
      </c>
      <c r="M235">
        <f t="shared" si="71"/>
        <v>1.5040554787853277</v>
      </c>
    </row>
    <row r="236" spans="2:15" x14ac:dyDescent="0.25">
      <c r="B236" s="3">
        <f t="shared" si="60"/>
        <v>0.66566666666666596</v>
      </c>
      <c r="C236" s="3">
        <f t="shared" si="61"/>
        <v>0.66766666666666596</v>
      </c>
      <c r="D236" s="1">
        <f t="shared" si="62"/>
        <v>0.75417291163948308</v>
      </c>
      <c r="E236" s="1">
        <f t="shared" si="63"/>
        <v>0.74583958834545949</v>
      </c>
      <c r="F236" s="1">
        <f t="shared" si="64"/>
        <v>0.75405964820649474</v>
      </c>
      <c r="G236" s="1">
        <f t="shared" si="65"/>
        <v>0.74594857548109972</v>
      </c>
      <c r="H236">
        <f t="shared" si="66"/>
        <v>1.1326343298834196E-4</v>
      </c>
      <c r="I236">
        <f t="shared" si="67"/>
        <v>-1.0898713564022611E-4</v>
      </c>
      <c r="J236">
        <f t="shared" si="68"/>
        <v>0</v>
      </c>
      <c r="K236">
        <f t="shared" si="69"/>
        <v>1</v>
      </c>
      <c r="L236">
        <f t="shared" si="70"/>
        <v>1.5020277681813485</v>
      </c>
      <c r="M236">
        <f t="shared" si="71"/>
        <v>1.497972231818651</v>
      </c>
    </row>
    <row r="237" spans="2:15" x14ac:dyDescent="0.25">
      <c r="B237" s="3">
        <f t="shared" si="60"/>
        <v>0.66866666666666597</v>
      </c>
      <c r="C237" s="3">
        <f t="shared" si="61"/>
        <v>0.66466666666666596</v>
      </c>
      <c r="D237" s="1">
        <f t="shared" si="62"/>
        <v>0.74169170670190343</v>
      </c>
      <c r="E237" s="1">
        <f t="shared" si="63"/>
        <v>0.75835829305716396</v>
      </c>
      <c r="F237" s="1">
        <f t="shared" si="64"/>
        <v>0.74190548933752276</v>
      </c>
      <c r="G237" s="1">
        <f t="shared" si="65"/>
        <v>0.75812740447883376</v>
      </c>
      <c r="H237">
        <f t="shared" si="66"/>
        <v>-2.1378263561933064E-4</v>
      </c>
      <c r="I237">
        <f t="shared" si="67"/>
        <v>2.3088857833020171E-4</v>
      </c>
      <c r="J237">
        <f t="shared" si="68"/>
        <v>1</v>
      </c>
      <c r="K237">
        <f t="shared" si="69"/>
        <v>0</v>
      </c>
      <c r="L237">
        <f t="shared" si="70"/>
        <v>1.4959445212146723</v>
      </c>
      <c r="M237">
        <f t="shared" si="71"/>
        <v>1.5040554787853277</v>
      </c>
    </row>
    <row r="238" spans="2:15" x14ac:dyDescent="0.25">
      <c r="B238" s="3">
        <f t="shared" si="60"/>
        <v>0.66566666666666596</v>
      </c>
      <c r="C238" s="3">
        <f t="shared" si="61"/>
        <v>0.66766666666666596</v>
      </c>
      <c r="D238" s="1">
        <f t="shared" si="62"/>
        <v>0.75417291163948308</v>
      </c>
      <c r="E238" s="1">
        <f t="shared" si="63"/>
        <v>0.74583958834545949</v>
      </c>
      <c r="F238" s="1">
        <f t="shared" si="64"/>
        <v>0.75405964820649474</v>
      </c>
      <c r="G238" s="1">
        <f t="shared" si="65"/>
        <v>0.74594857548109972</v>
      </c>
      <c r="H238">
        <f t="shared" si="66"/>
        <v>1.1326343298834196E-4</v>
      </c>
      <c r="I238">
        <f t="shared" si="67"/>
        <v>-1.0898713564022611E-4</v>
      </c>
      <c r="J238">
        <f t="shared" si="68"/>
        <v>0</v>
      </c>
      <c r="K238">
        <f t="shared" si="69"/>
        <v>1</v>
      </c>
      <c r="L238">
        <f t="shared" si="70"/>
        <v>1.5020277681813485</v>
      </c>
      <c r="M238">
        <f t="shared" si="71"/>
        <v>1.497972231818651</v>
      </c>
    </row>
    <row r="239" spans="2:15" x14ac:dyDescent="0.25">
      <c r="B239" s="3">
        <f t="shared" si="60"/>
        <v>0.66866666666666597</v>
      </c>
      <c r="C239" s="3">
        <f t="shared" si="61"/>
        <v>0.66466666666666596</v>
      </c>
      <c r="D239" s="1">
        <f t="shared" si="62"/>
        <v>0.74169170670190343</v>
      </c>
      <c r="E239" s="1">
        <f t="shared" si="63"/>
        <v>0.75835829305716396</v>
      </c>
      <c r="F239" s="1">
        <f t="shared" si="64"/>
        <v>0.74190548933752276</v>
      </c>
      <c r="G239" s="1">
        <f t="shared" si="65"/>
        <v>0.75812740447883376</v>
      </c>
      <c r="H239">
        <f t="shared" si="66"/>
        <v>-2.1378263561933064E-4</v>
      </c>
      <c r="I239">
        <f t="shared" si="67"/>
        <v>2.3088857833020171E-4</v>
      </c>
      <c r="J239">
        <f t="shared" si="68"/>
        <v>1</v>
      </c>
      <c r="K239">
        <f t="shared" si="69"/>
        <v>0</v>
      </c>
      <c r="L239">
        <f t="shared" si="70"/>
        <v>1.4959445212146723</v>
      </c>
      <c r="M239">
        <f t="shared" si="71"/>
        <v>1.5040554787853277</v>
      </c>
    </row>
    <row r="240" spans="2:15" x14ac:dyDescent="0.25">
      <c r="B240" s="3">
        <f t="shared" si="60"/>
        <v>0.66566666666666596</v>
      </c>
      <c r="C240" s="3">
        <f t="shared" si="61"/>
        <v>0.66766666666666596</v>
      </c>
      <c r="D240" s="1">
        <f t="shared" si="62"/>
        <v>0.75417291163948308</v>
      </c>
      <c r="E240" s="1">
        <f t="shared" si="63"/>
        <v>0.74583958834545949</v>
      </c>
      <c r="F240" s="1">
        <f t="shared" si="64"/>
        <v>0.75405964820649474</v>
      </c>
      <c r="G240" s="1">
        <f t="shared" si="65"/>
        <v>0.74594857548109972</v>
      </c>
      <c r="H240">
        <f t="shared" si="66"/>
        <v>1.1326343298834196E-4</v>
      </c>
      <c r="I240">
        <f t="shared" si="67"/>
        <v>-1.0898713564022611E-4</v>
      </c>
      <c r="J240">
        <f t="shared" si="68"/>
        <v>0</v>
      </c>
      <c r="K240">
        <f t="shared" si="69"/>
        <v>1</v>
      </c>
      <c r="L240">
        <f t="shared" si="70"/>
        <v>1.5020277681813485</v>
      </c>
      <c r="M240">
        <f t="shared" si="71"/>
        <v>1.497972231818651</v>
      </c>
    </row>
    <row r="241" spans="2:13" x14ac:dyDescent="0.25">
      <c r="B241" s="3">
        <f t="shared" si="60"/>
        <v>0.66866666666666597</v>
      </c>
      <c r="C241" s="3">
        <f t="shared" si="61"/>
        <v>0.66466666666666596</v>
      </c>
      <c r="D241" s="1">
        <f t="shared" si="62"/>
        <v>0.74169170670190343</v>
      </c>
      <c r="E241" s="1">
        <f t="shared" si="63"/>
        <v>0.75835829305716396</v>
      </c>
      <c r="F241" s="1">
        <f t="shared" si="64"/>
        <v>0.74190548933752276</v>
      </c>
      <c r="G241" s="1">
        <f t="shared" si="65"/>
        <v>0.75812740447883376</v>
      </c>
      <c r="H241">
        <f t="shared" si="66"/>
        <v>-2.1378263561933064E-4</v>
      </c>
      <c r="I241">
        <f t="shared" si="67"/>
        <v>2.3088857833020171E-4</v>
      </c>
      <c r="J241">
        <f t="shared" si="68"/>
        <v>1</v>
      </c>
      <c r="K241">
        <f t="shared" si="69"/>
        <v>0</v>
      </c>
      <c r="L241">
        <f t="shared" si="70"/>
        <v>1.4959445212146723</v>
      </c>
      <c r="M241">
        <f t="shared" si="71"/>
        <v>1.5040554787853277</v>
      </c>
    </row>
    <row r="242" spans="2:13" x14ac:dyDescent="0.25">
      <c r="B242" s="3">
        <f t="shared" si="60"/>
        <v>0.66566666666666596</v>
      </c>
      <c r="C242" s="3">
        <f t="shared" si="61"/>
        <v>0.66766666666666596</v>
      </c>
      <c r="D242" s="1">
        <f t="shared" si="62"/>
        <v>0.75417291163948308</v>
      </c>
      <c r="E242" s="1">
        <f t="shared" si="63"/>
        <v>0.74583958834545949</v>
      </c>
      <c r="F242" s="1">
        <f t="shared" si="64"/>
        <v>0.75405964820649474</v>
      </c>
      <c r="G242" s="1">
        <f t="shared" si="65"/>
        <v>0.74594857548109972</v>
      </c>
      <c r="H242">
        <f t="shared" si="66"/>
        <v>1.1326343298834196E-4</v>
      </c>
      <c r="I242">
        <f t="shared" si="67"/>
        <v>-1.0898713564022611E-4</v>
      </c>
      <c r="J242">
        <f t="shared" si="68"/>
        <v>0</v>
      </c>
      <c r="K242">
        <f t="shared" si="69"/>
        <v>1</v>
      </c>
      <c r="L242">
        <f t="shared" si="70"/>
        <v>1.5020277681813485</v>
      </c>
      <c r="M242">
        <f t="shared" si="71"/>
        <v>1.497972231818651</v>
      </c>
    </row>
    <row r="243" spans="2:13" x14ac:dyDescent="0.25">
      <c r="B243" s="3">
        <f t="shared" si="60"/>
        <v>0.66866666666666597</v>
      </c>
      <c r="C243" s="3">
        <f t="shared" si="61"/>
        <v>0.66466666666666596</v>
      </c>
      <c r="D243" s="1">
        <f t="shared" si="62"/>
        <v>0.74169170670190343</v>
      </c>
      <c r="E243" s="1">
        <f t="shared" si="63"/>
        <v>0.75835829305716396</v>
      </c>
      <c r="F243" s="1">
        <f t="shared" si="64"/>
        <v>0.74190548933752276</v>
      </c>
      <c r="G243" s="1">
        <f t="shared" si="65"/>
        <v>0.75812740447883376</v>
      </c>
      <c r="H243">
        <f t="shared" si="66"/>
        <v>-2.1378263561933064E-4</v>
      </c>
      <c r="I243">
        <f t="shared" si="67"/>
        <v>2.3088857833020171E-4</v>
      </c>
      <c r="J243">
        <f t="shared" si="68"/>
        <v>1</v>
      </c>
      <c r="K243">
        <f t="shared" si="69"/>
        <v>0</v>
      </c>
      <c r="L243">
        <f t="shared" si="70"/>
        <v>1.4959445212146723</v>
      </c>
      <c r="M243">
        <f t="shared" si="71"/>
        <v>1.5040554787853277</v>
      </c>
    </row>
    <row r="244" spans="2:13" x14ac:dyDescent="0.25">
      <c r="B244" s="3">
        <f t="shared" si="60"/>
        <v>0.66566666666666596</v>
      </c>
      <c r="C244" s="3">
        <f t="shared" si="61"/>
        <v>0.66766666666666596</v>
      </c>
      <c r="D244" s="1">
        <f t="shared" si="62"/>
        <v>0.75417291163948308</v>
      </c>
      <c r="E244" s="1">
        <f t="shared" si="63"/>
        <v>0.74583958834545949</v>
      </c>
      <c r="F244" s="1">
        <f t="shared" si="64"/>
        <v>0.75405964820649474</v>
      </c>
      <c r="G244" s="1">
        <f t="shared" si="65"/>
        <v>0.74594857548109972</v>
      </c>
      <c r="H244">
        <f t="shared" si="66"/>
        <v>1.1326343298834196E-4</v>
      </c>
      <c r="I244">
        <f t="shared" si="67"/>
        <v>-1.0898713564022611E-4</v>
      </c>
      <c r="J244">
        <f t="shared" si="68"/>
        <v>0</v>
      </c>
      <c r="K244">
        <f t="shared" si="69"/>
        <v>1</v>
      </c>
      <c r="L244">
        <f t="shared" si="70"/>
        <v>1.5020277681813485</v>
      </c>
      <c r="M244">
        <f t="shared" si="71"/>
        <v>1.497972231818651</v>
      </c>
    </row>
    <row r="245" spans="2:13" x14ac:dyDescent="0.25">
      <c r="B245" s="3">
        <f t="shared" si="60"/>
        <v>0.66866666666666597</v>
      </c>
      <c r="C245" s="3">
        <f t="shared" si="61"/>
        <v>0.66466666666666596</v>
      </c>
      <c r="D245" s="1">
        <f t="shared" si="62"/>
        <v>0.74169170670190343</v>
      </c>
      <c r="E245" s="1">
        <f t="shared" si="63"/>
        <v>0.75835829305716396</v>
      </c>
      <c r="F245" s="1">
        <f t="shared" si="64"/>
        <v>0.74190548933752276</v>
      </c>
      <c r="G245" s="1">
        <f t="shared" si="65"/>
        <v>0.75812740447883376</v>
      </c>
      <c r="H245">
        <f t="shared" si="66"/>
        <v>-2.1378263561933064E-4</v>
      </c>
      <c r="I245">
        <f t="shared" si="67"/>
        <v>2.3088857833020171E-4</v>
      </c>
      <c r="J245">
        <f t="shared" si="68"/>
        <v>1</v>
      </c>
      <c r="K245">
        <f t="shared" si="69"/>
        <v>0</v>
      </c>
      <c r="L245">
        <f t="shared" si="70"/>
        <v>1.4959445212146723</v>
      </c>
      <c r="M245">
        <f t="shared" si="71"/>
        <v>1.5040554787853277</v>
      </c>
    </row>
    <row r="246" spans="2:13" x14ac:dyDescent="0.25">
      <c r="B246" s="3">
        <f t="shared" si="60"/>
        <v>0.66566666666666596</v>
      </c>
      <c r="C246" s="3">
        <f t="shared" si="61"/>
        <v>0.66766666666666596</v>
      </c>
      <c r="D246" s="1">
        <f t="shared" si="62"/>
        <v>0.75417291163948308</v>
      </c>
      <c r="E246" s="1">
        <f t="shared" si="63"/>
        <v>0.74583958834545949</v>
      </c>
      <c r="F246" s="1">
        <f t="shared" si="64"/>
        <v>0.75405964820649474</v>
      </c>
      <c r="G246" s="1">
        <f t="shared" si="65"/>
        <v>0.74594857548109972</v>
      </c>
      <c r="H246">
        <f t="shared" si="66"/>
        <v>1.1326343298834196E-4</v>
      </c>
      <c r="I246">
        <f t="shared" si="67"/>
        <v>-1.0898713564022611E-4</v>
      </c>
      <c r="J246">
        <f t="shared" si="68"/>
        <v>0</v>
      </c>
      <c r="K246">
        <f t="shared" si="69"/>
        <v>1</v>
      </c>
      <c r="L246">
        <f t="shared" si="70"/>
        <v>1.5020277681813485</v>
      </c>
      <c r="M246">
        <f t="shared" si="71"/>
        <v>1.497972231818651</v>
      </c>
    </row>
    <row r="247" spans="2:13" x14ac:dyDescent="0.25">
      <c r="B247" s="3">
        <f t="shared" si="60"/>
        <v>0.66866666666666597</v>
      </c>
      <c r="C247" s="3">
        <f t="shared" si="61"/>
        <v>0.66466666666666596</v>
      </c>
      <c r="D247" s="1">
        <f t="shared" si="62"/>
        <v>0.74169170670190343</v>
      </c>
      <c r="E247" s="1">
        <f t="shared" si="63"/>
        <v>0.75835829305716396</v>
      </c>
      <c r="F247" s="1">
        <f t="shared" si="64"/>
        <v>0.74190548933752276</v>
      </c>
      <c r="G247" s="1">
        <f t="shared" si="65"/>
        <v>0.75812740447883376</v>
      </c>
      <c r="H247">
        <f t="shared" si="66"/>
        <v>-2.1378263561933064E-4</v>
      </c>
      <c r="I247">
        <f t="shared" si="67"/>
        <v>2.3088857833020171E-4</v>
      </c>
      <c r="J247">
        <f t="shared" si="68"/>
        <v>1</v>
      </c>
      <c r="K247">
        <f t="shared" si="69"/>
        <v>0</v>
      </c>
      <c r="L247">
        <f t="shared" si="70"/>
        <v>1.4959445212146723</v>
      </c>
      <c r="M247">
        <f t="shared" si="71"/>
        <v>1.5040554787853277</v>
      </c>
    </row>
    <row r="248" spans="2:13" x14ac:dyDescent="0.25">
      <c r="B248" s="3">
        <f t="shared" si="60"/>
        <v>0.66566666666666596</v>
      </c>
      <c r="C248" s="3">
        <f t="shared" si="61"/>
        <v>0.66766666666666596</v>
      </c>
      <c r="D248" s="1">
        <f t="shared" si="62"/>
        <v>0.75417291163948308</v>
      </c>
      <c r="E248" s="1">
        <f t="shared" si="63"/>
        <v>0.74583958834545949</v>
      </c>
      <c r="F248" s="1">
        <f t="shared" si="64"/>
        <v>0.75405964820649474</v>
      </c>
      <c r="G248" s="1">
        <f t="shared" si="65"/>
        <v>0.74594857548109972</v>
      </c>
      <c r="H248">
        <f t="shared" si="66"/>
        <v>1.1326343298834196E-4</v>
      </c>
      <c r="I248">
        <f t="shared" si="67"/>
        <v>-1.0898713564022611E-4</v>
      </c>
      <c r="J248">
        <f t="shared" si="68"/>
        <v>0</v>
      </c>
      <c r="K248">
        <f t="shared" si="69"/>
        <v>1</v>
      </c>
      <c r="L248">
        <f t="shared" si="70"/>
        <v>1.5020277681813485</v>
      </c>
      <c r="M248">
        <f t="shared" si="71"/>
        <v>1.497972231818651</v>
      </c>
    </row>
    <row r="249" spans="2:13" x14ac:dyDescent="0.25">
      <c r="B249" s="3">
        <f t="shared" si="60"/>
        <v>0.66866666666666597</v>
      </c>
      <c r="C249" s="3">
        <f t="shared" si="61"/>
        <v>0.66466666666666596</v>
      </c>
      <c r="D249" s="1">
        <f t="shared" si="62"/>
        <v>0.74169170670190343</v>
      </c>
      <c r="E249" s="1">
        <f t="shared" si="63"/>
        <v>0.75835829305716396</v>
      </c>
      <c r="F249" s="1">
        <f t="shared" si="64"/>
        <v>0.74190548933752276</v>
      </c>
      <c r="G249" s="1">
        <f t="shared" si="65"/>
        <v>0.75812740447883376</v>
      </c>
      <c r="H249">
        <f t="shared" si="66"/>
        <v>-2.1378263561933064E-4</v>
      </c>
      <c r="I249">
        <f t="shared" si="67"/>
        <v>2.3088857833020171E-4</v>
      </c>
      <c r="J249">
        <f t="shared" si="68"/>
        <v>1</v>
      </c>
      <c r="K249">
        <f t="shared" si="69"/>
        <v>0</v>
      </c>
      <c r="L249">
        <f t="shared" si="70"/>
        <v>1.4959445212146723</v>
      </c>
      <c r="M249">
        <f t="shared" si="71"/>
        <v>1.5040554787853277</v>
      </c>
    </row>
    <row r="250" spans="2:13" x14ac:dyDescent="0.25">
      <c r="B250" s="3">
        <f t="shared" si="60"/>
        <v>0.66566666666666596</v>
      </c>
      <c r="C250" s="3">
        <f t="shared" si="61"/>
        <v>0.66766666666666596</v>
      </c>
      <c r="D250" s="1">
        <f t="shared" si="62"/>
        <v>0.75417291163948308</v>
      </c>
      <c r="E250" s="1">
        <f t="shared" si="63"/>
        <v>0.74583958834545949</v>
      </c>
      <c r="F250" s="1">
        <f t="shared" si="64"/>
        <v>0.75405964820649474</v>
      </c>
      <c r="G250" s="1">
        <f t="shared" si="65"/>
        <v>0.74594857548109972</v>
      </c>
      <c r="H250">
        <f t="shared" si="66"/>
        <v>1.1326343298834196E-4</v>
      </c>
      <c r="I250">
        <f t="shared" si="67"/>
        <v>-1.0898713564022611E-4</v>
      </c>
      <c r="J250">
        <f t="shared" si="68"/>
        <v>0</v>
      </c>
      <c r="K250">
        <f t="shared" si="69"/>
        <v>1</v>
      </c>
      <c r="L250">
        <f t="shared" si="70"/>
        <v>1.5020277681813485</v>
      </c>
      <c r="M250">
        <f t="shared" si="71"/>
        <v>1.497972231818651</v>
      </c>
    </row>
    <row r="251" spans="2:13" x14ac:dyDescent="0.25">
      <c r="B251" s="3">
        <f t="shared" si="60"/>
        <v>0.66866666666666597</v>
      </c>
      <c r="C251" s="3">
        <f t="shared" si="61"/>
        <v>0.66466666666666596</v>
      </c>
      <c r="D251" s="1">
        <f t="shared" si="62"/>
        <v>0.74169170670190343</v>
      </c>
      <c r="E251" s="1">
        <f t="shared" si="63"/>
        <v>0.75835829305716396</v>
      </c>
      <c r="F251" s="1">
        <f t="shared" si="64"/>
        <v>0.74190548933752276</v>
      </c>
      <c r="G251" s="1">
        <f t="shared" si="65"/>
        <v>0.75812740447883376</v>
      </c>
      <c r="H251">
        <f t="shared" si="66"/>
        <v>-2.1378263561933064E-4</v>
      </c>
      <c r="I251">
        <f t="shared" si="67"/>
        <v>2.3088857833020171E-4</v>
      </c>
      <c r="J251">
        <f t="shared" si="68"/>
        <v>1</v>
      </c>
      <c r="K251">
        <f t="shared" si="69"/>
        <v>0</v>
      </c>
      <c r="L251">
        <f t="shared" si="70"/>
        <v>1.4959445212146723</v>
      </c>
      <c r="M251">
        <f t="shared" si="71"/>
        <v>1.5040554787853277</v>
      </c>
    </row>
    <row r="252" spans="2:13" x14ac:dyDescent="0.25">
      <c r="B252" s="3">
        <f t="shared" si="60"/>
        <v>0.66566666666666596</v>
      </c>
      <c r="C252" s="3">
        <f t="shared" si="61"/>
        <v>0.66766666666666596</v>
      </c>
      <c r="D252" s="1">
        <f t="shared" si="62"/>
        <v>0.75417291163948308</v>
      </c>
      <c r="E252" s="1">
        <f t="shared" si="63"/>
        <v>0.74583958834545949</v>
      </c>
      <c r="F252" s="1">
        <f t="shared" si="64"/>
        <v>0.75405964820649474</v>
      </c>
      <c r="G252" s="1">
        <f t="shared" si="65"/>
        <v>0.74594857548109972</v>
      </c>
      <c r="H252">
        <f t="shared" si="66"/>
        <v>1.1326343298834196E-4</v>
      </c>
      <c r="I252">
        <f t="shared" si="67"/>
        <v>-1.0898713564022611E-4</v>
      </c>
      <c r="J252">
        <f t="shared" si="68"/>
        <v>0</v>
      </c>
      <c r="K252">
        <f t="shared" si="69"/>
        <v>1</v>
      </c>
      <c r="L252">
        <f t="shared" si="70"/>
        <v>1.5020277681813485</v>
      </c>
      <c r="M252">
        <f t="shared" si="71"/>
        <v>1.497972231818651</v>
      </c>
    </row>
    <row r="253" spans="2:13" x14ac:dyDescent="0.25">
      <c r="B253" s="3">
        <f t="shared" si="60"/>
        <v>0.66866666666666597</v>
      </c>
      <c r="C253" s="3">
        <f t="shared" si="61"/>
        <v>0.66466666666666596</v>
      </c>
      <c r="D253" s="1">
        <f t="shared" si="62"/>
        <v>0.74169170670190343</v>
      </c>
      <c r="E253" s="1">
        <f t="shared" si="63"/>
        <v>0.75835829305716396</v>
      </c>
      <c r="F253" s="1">
        <f t="shared" si="64"/>
        <v>0.74190548933752276</v>
      </c>
      <c r="G253" s="1">
        <f t="shared" si="65"/>
        <v>0.75812740447883376</v>
      </c>
      <c r="H253">
        <f t="shared" si="66"/>
        <v>-2.1378263561933064E-4</v>
      </c>
      <c r="I253">
        <f t="shared" si="67"/>
        <v>2.3088857833020171E-4</v>
      </c>
      <c r="J253">
        <f t="shared" si="68"/>
        <v>1</v>
      </c>
      <c r="K253">
        <f t="shared" si="69"/>
        <v>0</v>
      </c>
      <c r="L253">
        <f t="shared" si="70"/>
        <v>1.4959445212146723</v>
      </c>
      <c r="M253">
        <f t="shared" si="71"/>
        <v>1.5040554787853277</v>
      </c>
    </row>
    <row r="254" spans="2:13" x14ac:dyDescent="0.25">
      <c r="B254" s="3">
        <f t="shared" si="60"/>
        <v>0.66566666666666596</v>
      </c>
      <c r="C254" s="3">
        <f t="shared" si="61"/>
        <v>0.66766666666666596</v>
      </c>
      <c r="D254" s="1">
        <f t="shared" si="62"/>
        <v>0.75417291163948308</v>
      </c>
      <c r="E254" s="1">
        <f t="shared" si="63"/>
        <v>0.74583958834545949</v>
      </c>
      <c r="F254" s="1">
        <f t="shared" si="64"/>
        <v>0.75405964820649474</v>
      </c>
      <c r="G254" s="1">
        <f t="shared" si="65"/>
        <v>0.74594857548109972</v>
      </c>
      <c r="H254">
        <f t="shared" si="66"/>
        <v>1.1326343298834196E-4</v>
      </c>
      <c r="I254">
        <f t="shared" si="67"/>
        <v>-1.0898713564022611E-4</v>
      </c>
      <c r="J254">
        <f t="shared" si="68"/>
        <v>0</v>
      </c>
      <c r="K254">
        <f t="shared" si="69"/>
        <v>1</v>
      </c>
      <c r="L254">
        <f t="shared" si="70"/>
        <v>1.5020277681813485</v>
      </c>
      <c r="M254">
        <f t="shared" si="71"/>
        <v>1.497972231818651</v>
      </c>
    </row>
    <row r="255" spans="2:13" x14ac:dyDescent="0.25">
      <c r="B255" s="3">
        <f t="shared" si="60"/>
        <v>0.66866666666666597</v>
      </c>
      <c r="C255" s="3">
        <f t="shared" si="61"/>
        <v>0.66466666666666596</v>
      </c>
      <c r="D255" s="1">
        <f t="shared" si="62"/>
        <v>0.74169170670190343</v>
      </c>
      <c r="E255" s="1">
        <f t="shared" si="63"/>
        <v>0.75835829305716396</v>
      </c>
      <c r="F255" s="1">
        <f t="shared" si="64"/>
        <v>0.74190548933752276</v>
      </c>
      <c r="G255" s="1">
        <f t="shared" si="65"/>
        <v>0.75812740447883376</v>
      </c>
      <c r="H255">
        <f t="shared" si="66"/>
        <v>-2.1378263561933064E-4</v>
      </c>
      <c r="I255">
        <f t="shared" si="67"/>
        <v>2.3088857833020171E-4</v>
      </c>
      <c r="J255">
        <f t="shared" si="68"/>
        <v>1</v>
      </c>
      <c r="K255">
        <f t="shared" si="69"/>
        <v>0</v>
      </c>
      <c r="L255">
        <f t="shared" si="70"/>
        <v>1.4959445212146723</v>
      </c>
      <c r="M255">
        <f t="shared" si="71"/>
        <v>1.5040554787853277</v>
      </c>
    </row>
    <row r="256" spans="2:13" x14ac:dyDescent="0.25">
      <c r="B256" s="3">
        <f t="shared" si="60"/>
        <v>0.66566666666666596</v>
      </c>
      <c r="C256" s="3">
        <f t="shared" si="61"/>
        <v>0.66766666666666596</v>
      </c>
      <c r="D256" s="1">
        <f t="shared" si="62"/>
        <v>0.75417291163948308</v>
      </c>
      <c r="E256" s="1">
        <f t="shared" si="63"/>
        <v>0.74583958834545949</v>
      </c>
      <c r="F256" s="1">
        <f t="shared" si="64"/>
        <v>0.75405964820649474</v>
      </c>
      <c r="G256" s="1">
        <f t="shared" si="65"/>
        <v>0.74594857548109972</v>
      </c>
      <c r="H256">
        <f t="shared" si="66"/>
        <v>1.1326343298834196E-4</v>
      </c>
      <c r="I256">
        <f t="shared" si="67"/>
        <v>-1.0898713564022611E-4</v>
      </c>
      <c r="J256">
        <f t="shared" si="68"/>
        <v>0</v>
      </c>
      <c r="K256">
        <f t="shared" si="69"/>
        <v>1</v>
      </c>
      <c r="L256">
        <f t="shared" si="70"/>
        <v>1.5020277681813485</v>
      </c>
      <c r="M256">
        <f t="shared" si="71"/>
        <v>1.497972231818651</v>
      </c>
    </row>
    <row r="257" spans="2:13" x14ac:dyDescent="0.25">
      <c r="B257" s="3">
        <f t="shared" si="60"/>
        <v>0.66866666666666597</v>
      </c>
      <c r="C257" s="3">
        <f t="shared" si="61"/>
        <v>0.66466666666666596</v>
      </c>
      <c r="D257" s="1">
        <f t="shared" si="62"/>
        <v>0.74169170670190343</v>
      </c>
      <c r="E257" s="1">
        <f t="shared" si="63"/>
        <v>0.75835829305716396</v>
      </c>
      <c r="F257" s="1">
        <f t="shared" si="64"/>
        <v>0.74190548933752276</v>
      </c>
      <c r="G257" s="1">
        <f t="shared" si="65"/>
        <v>0.75812740447883376</v>
      </c>
      <c r="H257">
        <f t="shared" si="66"/>
        <v>-2.1378263561933064E-4</v>
      </c>
      <c r="I257">
        <f t="shared" si="67"/>
        <v>2.3088857833020171E-4</v>
      </c>
      <c r="J257">
        <f t="shared" si="68"/>
        <v>1</v>
      </c>
      <c r="K257">
        <f t="shared" si="69"/>
        <v>0</v>
      </c>
      <c r="L257">
        <f t="shared" si="70"/>
        <v>1.4959445212146723</v>
      </c>
      <c r="M257">
        <f t="shared" si="71"/>
        <v>1.5040554787853277</v>
      </c>
    </row>
    <row r="258" spans="2:13" x14ac:dyDescent="0.25">
      <c r="B258" s="3">
        <f t="shared" si="60"/>
        <v>0.66566666666666596</v>
      </c>
      <c r="C258" s="3">
        <f t="shared" si="61"/>
        <v>0.66766666666666596</v>
      </c>
      <c r="D258" s="1">
        <f t="shared" si="62"/>
        <v>0.75417291163948308</v>
      </c>
      <c r="E258" s="1">
        <f t="shared" si="63"/>
        <v>0.74583958834545949</v>
      </c>
      <c r="F258" s="1">
        <f t="shared" si="64"/>
        <v>0.75405964820649474</v>
      </c>
      <c r="G258" s="1">
        <f t="shared" si="65"/>
        <v>0.74594857548109972</v>
      </c>
      <c r="H258">
        <f t="shared" si="66"/>
        <v>1.1326343298834196E-4</v>
      </c>
      <c r="I258">
        <f t="shared" si="67"/>
        <v>-1.0898713564022611E-4</v>
      </c>
      <c r="J258">
        <f t="shared" si="68"/>
        <v>0</v>
      </c>
      <c r="K258">
        <f t="shared" si="69"/>
        <v>1</v>
      </c>
      <c r="L258">
        <f t="shared" si="70"/>
        <v>1.5020277681813485</v>
      </c>
      <c r="M258">
        <f t="shared" si="71"/>
        <v>1.497972231818651</v>
      </c>
    </row>
    <row r="259" spans="2:13" x14ac:dyDescent="0.25">
      <c r="B259" s="3">
        <f t="shared" si="60"/>
        <v>0.66866666666666597</v>
      </c>
      <c r="C259" s="3">
        <f t="shared" si="61"/>
        <v>0.66466666666666596</v>
      </c>
      <c r="D259" s="1">
        <f t="shared" si="62"/>
        <v>0.74169170670190343</v>
      </c>
      <c r="E259" s="1">
        <f t="shared" si="63"/>
        <v>0.75835829305716396</v>
      </c>
      <c r="F259" s="1">
        <f t="shared" si="64"/>
        <v>0.74190548933752276</v>
      </c>
      <c r="G259" s="1">
        <f t="shared" si="65"/>
        <v>0.75812740447883376</v>
      </c>
      <c r="H259">
        <f t="shared" si="66"/>
        <v>-2.1378263561933064E-4</v>
      </c>
      <c r="I259">
        <f t="shared" si="67"/>
        <v>2.3088857833020171E-4</v>
      </c>
      <c r="J259">
        <f t="shared" si="68"/>
        <v>1</v>
      </c>
      <c r="K259">
        <f t="shared" si="69"/>
        <v>0</v>
      </c>
      <c r="L259">
        <f t="shared" si="70"/>
        <v>1.4959445212146723</v>
      </c>
      <c r="M259">
        <f t="shared" si="71"/>
        <v>1.5040554787853277</v>
      </c>
    </row>
    <row r="260" spans="2:13" x14ac:dyDescent="0.25">
      <c r="B260" s="3">
        <f t="shared" si="60"/>
        <v>0.66566666666666596</v>
      </c>
      <c r="C260" s="3">
        <f t="shared" si="61"/>
        <v>0.66766666666666596</v>
      </c>
      <c r="D260" s="1">
        <f t="shared" si="62"/>
        <v>0.75417291163948308</v>
      </c>
      <c r="E260" s="1">
        <f t="shared" si="63"/>
        <v>0.74583958834545949</v>
      </c>
      <c r="F260" s="1">
        <f t="shared" si="64"/>
        <v>0.75405964820649474</v>
      </c>
      <c r="G260" s="1">
        <f t="shared" si="65"/>
        <v>0.74594857548109972</v>
      </c>
      <c r="H260">
        <f t="shared" si="66"/>
        <v>1.1326343298834196E-4</v>
      </c>
      <c r="I260">
        <f t="shared" si="67"/>
        <v>-1.0898713564022611E-4</v>
      </c>
      <c r="J260">
        <f t="shared" si="68"/>
        <v>0</v>
      </c>
      <c r="K260">
        <f t="shared" si="69"/>
        <v>1</v>
      </c>
      <c r="L260">
        <f t="shared" si="70"/>
        <v>1.5020277681813485</v>
      </c>
      <c r="M260">
        <f t="shared" si="71"/>
        <v>1.497972231818651</v>
      </c>
    </row>
    <row r="261" spans="2:13" x14ac:dyDescent="0.25">
      <c r="B261" s="3">
        <f t="shared" si="60"/>
        <v>0.66866666666666597</v>
      </c>
      <c r="C261" s="3">
        <f t="shared" si="61"/>
        <v>0.66466666666666596</v>
      </c>
      <c r="D261" s="1">
        <f t="shared" si="62"/>
        <v>0.74169170670190343</v>
      </c>
      <c r="E261" s="1">
        <f t="shared" si="63"/>
        <v>0.75835829305716396</v>
      </c>
      <c r="F261" s="1">
        <f t="shared" si="64"/>
        <v>0.74190548933752276</v>
      </c>
      <c r="G261" s="1">
        <f t="shared" si="65"/>
        <v>0.75812740447883376</v>
      </c>
      <c r="H261">
        <f t="shared" si="66"/>
        <v>-2.1378263561933064E-4</v>
      </c>
      <c r="I261">
        <f t="shared" si="67"/>
        <v>2.3088857833020171E-4</v>
      </c>
      <c r="J261">
        <f t="shared" si="68"/>
        <v>1</v>
      </c>
      <c r="K261">
        <f t="shared" si="69"/>
        <v>0</v>
      </c>
      <c r="L261">
        <f t="shared" si="70"/>
        <v>1.4959445212146723</v>
      </c>
      <c r="M261">
        <f t="shared" si="71"/>
        <v>1.5040554787853277</v>
      </c>
    </row>
    <row r="262" spans="2:13" x14ac:dyDescent="0.25">
      <c r="B262" s="3">
        <f t="shared" si="60"/>
        <v>0.66566666666666596</v>
      </c>
      <c r="C262" s="3">
        <f t="shared" si="61"/>
        <v>0.66766666666666596</v>
      </c>
      <c r="D262" s="1">
        <f t="shared" si="62"/>
        <v>0.75417291163948308</v>
      </c>
      <c r="E262" s="1">
        <f t="shared" si="63"/>
        <v>0.74583958834545949</v>
      </c>
      <c r="F262" s="1">
        <f t="shared" si="64"/>
        <v>0.75405964820649474</v>
      </c>
      <c r="G262" s="1">
        <f t="shared" si="65"/>
        <v>0.74594857548109972</v>
      </c>
      <c r="H262">
        <f t="shared" si="66"/>
        <v>1.1326343298834196E-4</v>
      </c>
      <c r="I262">
        <f t="shared" si="67"/>
        <v>-1.0898713564022611E-4</v>
      </c>
      <c r="J262">
        <f t="shared" si="68"/>
        <v>0</v>
      </c>
      <c r="K262">
        <f t="shared" si="69"/>
        <v>1</v>
      </c>
      <c r="L262">
        <f t="shared" si="70"/>
        <v>1.5020277681813485</v>
      </c>
      <c r="M262">
        <f t="shared" si="71"/>
        <v>1.497972231818651</v>
      </c>
    </row>
    <row r="263" spans="2:13" x14ac:dyDescent="0.25">
      <c r="B263" s="3">
        <f t="shared" si="60"/>
        <v>0.66866666666666597</v>
      </c>
      <c r="C263" s="3">
        <f t="shared" si="61"/>
        <v>0.66466666666666596</v>
      </c>
      <c r="D263" s="1">
        <f t="shared" si="62"/>
        <v>0.74169170670190343</v>
      </c>
      <c r="E263" s="1">
        <f t="shared" si="63"/>
        <v>0.75835829305716396</v>
      </c>
      <c r="F263" s="1">
        <f t="shared" si="64"/>
        <v>0.74190548933752276</v>
      </c>
      <c r="G263" s="1">
        <f t="shared" si="65"/>
        <v>0.75812740447883376</v>
      </c>
      <c r="H263">
        <f t="shared" si="66"/>
        <v>-2.1378263561933064E-4</v>
      </c>
      <c r="I263">
        <f t="shared" si="67"/>
        <v>2.3088857833020171E-4</v>
      </c>
      <c r="J263">
        <f t="shared" si="68"/>
        <v>1</v>
      </c>
      <c r="K263">
        <f t="shared" si="69"/>
        <v>0</v>
      </c>
      <c r="L263">
        <f t="shared" si="70"/>
        <v>1.4959445212146723</v>
      </c>
      <c r="M263">
        <f t="shared" si="71"/>
        <v>1.5040554787853277</v>
      </c>
    </row>
    <row r="264" spans="2:13" x14ac:dyDescent="0.25">
      <c r="B264" s="3">
        <f t="shared" si="60"/>
        <v>0.66566666666666596</v>
      </c>
      <c r="C264" s="3">
        <f t="shared" si="61"/>
        <v>0.66766666666666596</v>
      </c>
      <c r="D264" s="1">
        <f t="shared" si="62"/>
        <v>0.75417291163948308</v>
      </c>
      <c r="E264" s="1">
        <f t="shared" si="63"/>
        <v>0.74583958834545949</v>
      </c>
      <c r="F264" s="1">
        <f t="shared" si="64"/>
        <v>0.75405964820649474</v>
      </c>
      <c r="G264" s="1">
        <f t="shared" si="65"/>
        <v>0.74594857548109972</v>
      </c>
      <c r="H264">
        <f t="shared" si="66"/>
        <v>1.1326343298834196E-4</v>
      </c>
      <c r="I264">
        <f t="shared" si="67"/>
        <v>-1.0898713564022611E-4</v>
      </c>
      <c r="J264">
        <f t="shared" si="68"/>
        <v>0</v>
      </c>
      <c r="K264">
        <f t="shared" si="69"/>
        <v>1</v>
      </c>
      <c r="L264">
        <f t="shared" si="70"/>
        <v>1.5020277681813485</v>
      </c>
      <c r="M264">
        <f t="shared" si="71"/>
        <v>1.497972231818651</v>
      </c>
    </row>
    <row r="265" spans="2:13" x14ac:dyDescent="0.25">
      <c r="B265" s="3">
        <f t="shared" si="60"/>
        <v>0.66866666666666597</v>
      </c>
      <c r="C265" s="3">
        <f t="shared" si="61"/>
        <v>0.66466666666666596</v>
      </c>
      <c r="D265" s="1">
        <f t="shared" si="62"/>
        <v>0.74169170670190343</v>
      </c>
      <c r="E265" s="1">
        <f t="shared" si="63"/>
        <v>0.75835829305716396</v>
      </c>
      <c r="F265" s="1">
        <f t="shared" si="64"/>
        <v>0.74190548933752276</v>
      </c>
      <c r="G265" s="1">
        <f t="shared" si="65"/>
        <v>0.75812740447883376</v>
      </c>
      <c r="H265">
        <f t="shared" si="66"/>
        <v>-2.1378263561933064E-4</v>
      </c>
      <c r="I265">
        <f t="shared" si="67"/>
        <v>2.3088857833020171E-4</v>
      </c>
      <c r="J265">
        <f t="shared" si="68"/>
        <v>1</v>
      </c>
      <c r="K265">
        <f t="shared" si="69"/>
        <v>0</v>
      </c>
      <c r="L265">
        <f t="shared" si="70"/>
        <v>1.4959445212146723</v>
      </c>
      <c r="M265">
        <f t="shared" si="71"/>
        <v>1.5040554787853277</v>
      </c>
    </row>
    <row r="266" spans="2:13" x14ac:dyDescent="0.25">
      <c r="B266" s="3">
        <f t="shared" si="60"/>
        <v>0.66566666666666596</v>
      </c>
      <c r="C266" s="3">
        <f t="shared" si="61"/>
        <v>0.66766666666666596</v>
      </c>
      <c r="D266" s="1">
        <f t="shared" si="62"/>
        <v>0.75417291163948308</v>
      </c>
      <c r="E266" s="1">
        <f t="shared" si="63"/>
        <v>0.74583958834545949</v>
      </c>
      <c r="F266" s="1">
        <f t="shared" si="64"/>
        <v>0.75405964820649474</v>
      </c>
      <c r="G266" s="1">
        <f t="shared" si="65"/>
        <v>0.74594857548109972</v>
      </c>
      <c r="H266">
        <f t="shared" si="66"/>
        <v>1.1326343298834196E-4</v>
      </c>
      <c r="I266">
        <f t="shared" si="67"/>
        <v>-1.0898713564022611E-4</v>
      </c>
      <c r="J266">
        <f t="shared" si="68"/>
        <v>0</v>
      </c>
      <c r="K266">
        <f t="shared" si="69"/>
        <v>1</v>
      </c>
      <c r="L266">
        <f t="shared" si="70"/>
        <v>1.5020277681813485</v>
      </c>
      <c r="M266">
        <f t="shared" si="71"/>
        <v>1.497972231818651</v>
      </c>
    </row>
    <row r="267" spans="2:13" x14ac:dyDescent="0.25">
      <c r="B267" s="3">
        <f t="shared" si="60"/>
        <v>0.66866666666666597</v>
      </c>
      <c r="C267" s="3">
        <f t="shared" si="61"/>
        <v>0.66466666666666596</v>
      </c>
      <c r="D267" s="1">
        <f t="shared" si="62"/>
        <v>0.74169170670190343</v>
      </c>
      <c r="E267" s="1">
        <f t="shared" si="63"/>
        <v>0.75835829305716396</v>
      </c>
      <c r="F267" s="1">
        <f t="shared" si="64"/>
        <v>0.74190548933752276</v>
      </c>
      <c r="G267" s="1">
        <f t="shared" si="65"/>
        <v>0.75812740447883376</v>
      </c>
      <c r="H267">
        <f t="shared" si="66"/>
        <v>-2.1378263561933064E-4</v>
      </c>
      <c r="I267">
        <f t="shared" si="67"/>
        <v>2.3088857833020171E-4</v>
      </c>
      <c r="J267">
        <f t="shared" si="68"/>
        <v>1</v>
      </c>
      <c r="K267">
        <f t="shared" si="69"/>
        <v>0</v>
      </c>
      <c r="L267">
        <f t="shared" si="70"/>
        <v>1.4959445212146723</v>
      </c>
      <c r="M267">
        <f t="shared" si="71"/>
        <v>1.5040554787853277</v>
      </c>
    </row>
    <row r="268" spans="2:13" x14ac:dyDescent="0.25">
      <c r="B268" s="3">
        <f t="shared" si="60"/>
        <v>0.66566666666666596</v>
      </c>
      <c r="C268" s="3">
        <f t="shared" si="61"/>
        <v>0.66766666666666596</v>
      </c>
      <c r="D268" s="1">
        <f t="shared" si="62"/>
        <v>0.75417291163948308</v>
      </c>
      <c r="E268" s="1">
        <f t="shared" si="63"/>
        <v>0.74583958834545949</v>
      </c>
      <c r="F268" s="1">
        <f t="shared" si="64"/>
        <v>0.75405964820649474</v>
      </c>
      <c r="G268" s="1">
        <f t="shared" si="65"/>
        <v>0.74594857548109972</v>
      </c>
      <c r="H268">
        <f t="shared" si="66"/>
        <v>1.1326343298834196E-4</v>
      </c>
      <c r="I268">
        <f t="shared" si="67"/>
        <v>-1.0898713564022611E-4</v>
      </c>
      <c r="J268">
        <f t="shared" si="68"/>
        <v>0</v>
      </c>
      <c r="K268">
        <f t="shared" si="69"/>
        <v>1</v>
      </c>
      <c r="L268">
        <f t="shared" si="70"/>
        <v>1.5020277681813485</v>
      </c>
      <c r="M268">
        <f t="shared" si="71"/>
        <v>1.497972231818651</v>
      </c>
    </row>
    <row r="269" spans="2:13" x14ac:dyDescent="0.25">
      <c r="B269" s="3">
        <f t="shared" si="60"/>
        <v>0.66866666666666597</v>
      </c>
      <c r="C269" s="3">
        <f t="shared" si="61"/>
        <v>0.66466666666666596</v>
      </c>
      <c r="D269" s="1">
        <f t="shared" si="62"/>
        <v>0.74169170670190343</v>
      </c>
      <c r="E269" s="1">
        <f t="shared" si="63"/>
        <v>0.75835829305716396</v>
      </c>
      <c r="F269" s="1">
        <f t="shared" si="64"/>
        <v>0.74190548933752276</v>
      </c>
      <c r="G269" s="1">
        <f t="shared" si="65"/>
        <v>0.75812740447883376</v>
      </c>
      <c r="H269">
        <f t="shared" si="66"/>
        <v>-2.1378263561933064E-4</v>
      </c>
      <c r="I269">
        <f t="shared" si="67"/>
        <v>2.3088857833020171E-4</v>
      </c>
      <c r="J269">
        <f t="shared" si="68"/>
        <v>1</v>
      </c>
      <c r="K269">
        <f t="shared" si="69"/>
        <v>0</v>
      </c>
      <c r="L269">
        <f t="shared" si="70"/>
        <v>1.4959445212146723</v>
      </c>
      <c r="M269">
        <f t="shared" si="71"/>
        <v>1.5040554787853277</v>
      </c>
    </row>
    <row r="270" spans="2:13" x14ac:dyDescent="0.25">
      <c r="B270" s="3">
        <f t="shared" si="60"/>
        <v>0.66566666666666596</v>
      </c>
      <c r="C270" s="3">
        <f t="shared" si="61"/>
        <v>0.66766666666666596</v>
      </c>
      <c r="D270" s="1">
        <f t="shared" si="62"/>
        <v>0.75417291163948308</v>
      </c>
      <c r="E270" s="1">
        <f t="shared" si="63"/>
        <v>0.74583958834545949</v>
      </c>
      <c r="F270" s="1">
        <f t="shared" si="64"/>
        <v>0.75405964820649474</v>
      </c>
      <c r="G270" s="1">
        <f t="shared" si="65"/>
        <v>0.74594857548109972</v>
      </c>
      <c r="H270">
        <f t="shared" si="66"/>
        <v>1.1326343298834196E-4</v>
      </c>
      <c r="I270">
        <f t="shared" si="67"/>
        <v>-1.0898713564022611E-4</v>
      </c>
      <c r="J270">
        <f t="shared" si="68"/>
        <v>0</v>
      </c>
      <c r="K270">
        <f t="shared" si="69"/>
        <v>1</v>
      </c>
      <c r="L270">
        <f t="shared" si="70"/>
        <v>1.5020277681813485</v>
      </c>
      <c r="M270">
        <f t="shared" si="71"/>
        <v>1.497972231818651</v>
      </c>
    </row>
    <row r="271" spans="2:13" x14ac:dyDescent="0.25">
      <c r="B271" s="3">
        <f t="shared" si="60"/>
        <v>0.66866666666666597</v>
      </c>
      <c r="C271" s="3">
        <f t="shared" si="61"/>
        <v>0.66466666666666596</v>
      </c>
      <c r="D271" s="1">
        <f t="shared" si="62"/>
        <v>0.74169170670190343</v>
      </c>
      <c r="E271" s="1">
        <f t="shared" si="63"/>
        <v>0.75835829305716396</v>
      </c>
      <c r="F271" s="1">
        <f t="shared" si="64"/>
        <v>0.74190548933752276</v>
      </c>
      <c r="G271" s="1">
        <f t="shared" si="65"/>
        <v>0.75812740447883376</v>
      </c>
      <c r="H271">
        <f t="shared" si="66"/>
        <v>-2.1378263561933064E-4</v>
      </c>
      <c r="I271">
        <f t="shared" si="67"/>
        <v>2.3088857833020171E-4</v>
      </c>
      <c r="J271">
        <f t="shared" si="68"/>
        <v>1</v>
      </c>
      <c r="K271">
        <f t="shared" si="69"/>
        <v>0</v>
      </c>
      <c r="L271">
        <f t="shared" si="70"/>
        <v>1.4959445212146723</v>
      </c>
      <c r="M271">
        <f t="shared" si="71"/>
        <v>1.5040554787853277</v>
      </c>
    </row>
    <row r="272" spans="2:13" x14ac:dyDescent="0.25">
      <c r="B272" s="3">
        <f t="shared" si="60"/>
        <v>0.66566666666666596</v>
      </c>
      <c r="C272" s="3">
        <f t="shared" si="61"/>
        <v>0.66766666666666596</v>
      </c>
      <c r="D272" s="1">
        <f t="shared" si="62"/>
        <v>0.75417291163948308</v>
      </c>
      <c r="E272" s="1">
        <f t="shared" si="63"/>
        <v>0.74583958834545949</v>
      </c>
      <c r="F272" s="1">
        <f t="shared" si="64"/>
        <v>0.75405964820649474</v>
      </c>
      <c r="G272" s="1">
        <f t="shared" si="65"/>
        <v>0.74594857548109972</v>
      </c>
      <c r="H272">
        <f t="shared" si="66"/>
        <v>1.1326343298834196E-4</v>
      </c>
      <c r="I272">
        <f t="shared" si="67"/>
        <v>-1.0898713564022611E-4</v>
      </c>
      <c r="J272">
        <f t="shared" si="68"/>
        <v>0</v>
      </c>
      <c r="K272">
        <f t="shared" si="69"/>
        <v>1</v>
      </c>
      <c r="L272">
        <f t="shared" si="70"/>
        <v>1.5020277681813485</v>
      </c>
      <c r="M272">
        <f t="shared" si="71"/>
        <v>1.497972231818651</v>
      </c>
    </row>
    <row r="273" spans="2:13" x14ac:dyDescent="0.25">
      <c r="B273" s="3">
        <f t="shared" si="60"/>
        <v>0.66866666666666597</v>
      </c>
      <c r="C273" s="3">
        <f t="shared" si="61"/>
        <v>0.66466666666666596</v>
      </c>
      <c r="D273" s="1">
        <f t="shared" si="62"/>
        <v>0.74169170670190343</v>
      </c>
      <c r="E273" s="1">
        <f t="shared" si="63"/>
        <v>0.75835829305716396</v>
      </c>
      <c r="F273" s="1">
        <f t="shared" si="64"/>
        <v>0.74190548933752276</v>
      </c>
      <c r="G273" s="1">
        <f t="shared" si="65"/>
        <v>0.75812740447883376</v>
      </c>
      <c r="H273">
        <f t="shared" si="66"/>
        <v>-2.1378263561933064E-4</v>
      </c>
      <c r="I273">
        <f t="shared" si="67"/>
        <v>2.3088857833020171E-4</v>
      </c>
      <c r="J273">
        <f t="shared" si="68"/>
        <v>1</v>
      </c>
      <c r="K273">
        <f t="shared" si="69"/>
        <v>0</v>
      </c>
      <c r="L273">
        <f t="shared" si="70"/>
        <v>1.4959445212146723</v>
      </c>
      <c r="M273">
        <f t="shared" si="71"/>
        <v>1.5040554787853277</v>
      </c>
    </row>
    <row r="274" spans="2:13" x14ac:dyDescent="0.25">
      <c r="B274" s="3">
        <f t="shared" si="60"/>
        <v>0.66566666666666596</v>
      </c>
      <c r="C274" s="3">
        <f t="shared" si="61"/>
        <v>0.66766666666666596</v>
      </c>
      <c r="D274" s="1">
        <f t="shared" si="62"/>
        <v>0.75417291163948308</v>
      </c>
      <c r="E274" s="1">
        <f t="shared" si="63"/>
        <v>0.74583958834545949</v>
      </c>
      <c r="F274" s="1">
        <f t="shared" si="64"/>
        <v>0.75405964820649474</v>
      </c>
      <c r="G274" s="1">
        <f t="shared" si="65"/>
        <v>0.74594857548109972</v>
      </c>
      <c r="H274">
        <f t="shared" si="66"/>
        <v>1.1326343298834196E-4</v>
      </c>
      <c r="I274">
        <f t="shared" si="67"/>
        <v>-1.0898713564022611E-4</v>
      </c>
      <c r="J274">
        <f t="shared" si="68"/>
        <v>0</v>
      </c>
      <c r="K274">
        <f t="shared" si="69"/>
        <v>1</v>
      </c>
      <c r="L274">
        <f t="shared" si="70"/>
        <v>1.5020277681813485</v>
      </c>
      <c r="M274">
        <f t="shared" si="71"/>
        <v>1.497972231818651</v>
      </c>
    </row>
    <row r="275" spans="2:13" x14ac:dyDescent="0.25">
      <c r="B275" s="3">
        <f t="shared" si="60"/>
        <v>0.66866666666666597</v>
      </c>
      <c r="C275" s="3">
        <f t="shared" si="61"/>
        <v>0.66466666666666596</v>
      </c>
      <c r="D275" s="1">
        <f t="shared" si="62"/>
        <v>0.74169170670190343</v>
      </c>
      <c r="E275" s="1">
        <f t="shared" si="63"/>
        <v>0.75835829305716396</v>
      </c>
      <c r="F275" s="1">
        <f t="shared" si="64"/>
        <v>0.74190548933752276</v>
      </c>
      <c r="G275" s="1">
        <f t="shared" si="65"/>
        <v>0.75812740447883376</v>
      </c>
      <c r="H275">
        <f t="shared" si="66"/>
        <v>-2.1378263561933064E-4</v>
      </c>
      <c r="I275">
        <f t="shared" si="67"/>
        <v>2.3088857833020171E-4</v>
      </c>
      <c r="J275">
        <f t="shared" si="68"/>
        <v>1</v>
      </c>
      <c r="K275">
        <f t="shared" si="69"/>
        <v>0</v>
      </c>
      <c r="L275">
        <f t="shared" si="70"/>
        <v>1.4959445212146723</v>
      </c>
      <c r="M275">
        <f t="shared" si="71"/>
        <v>1.5040554787853277</v>
      </c>
    </row>
    <row r="276" spans="2:13" x14ac:dyDescent="0.25">
      <c r="B276" s="3">
        <f t="shared" si="60"/>
        <v>0.66566666666666596</v>
      </c>
      <c r="C276" s="3">
        <f t="shared" si="61"/>
        <v>0.66766666666666596</v>
      </c>
      <c r="D276" s="1">
        <f t="shared" si="62"/>
        <v>0.75417291163948308</v>
      </c>
      <c r="E276" s="1">
        <f t="shared" si="63"/>
        <v>0.74583958834545949</v>
      </c>
      <c r="F276" s="1">
        <f t="shared" si="64"/>
        <v>0.75405964820649474</v>
      </c>
      <c r="G276" s="1">
        <f t="shared" si="65"/>
        <v>0.74594857548109972</v>
      </c>
      <c r="H276">
        <f t="shared" si="66"/>
        <v>1.1326343298834196E-4</v>
      </c>
      <c r="I276">
        <f t="shared" si="67"/>
        <v>-1.0898713564022611E-4</v>
      </c>
      <c r="J276">
        <f t="shared" si="68"/>
        <v>0</v>
      </c>
      <c r="K276">
        <f t="shared" si="69"/>
        <v>1</v>
      </c>
      <c r="L276">
        <f t="shared" si="70"/>
        <v>1.5020277681813485</v>
      </c>
      <c r="M276">
        <f t="shared" si="71"/>
        <v>1.497972231818651</v>
      </c>
    </row>
    <row r="277" spans="2:13" x14ac:dyDescent="0.25">
      <c r="B277" s="3">
        <f t="shared" si="60"/>
        <v>0.66866666666666597</v>
      </c>
      <c r="C277" s="3">
        <f t="shared" si="61"/>
        <v>0.66466666666666596</v>
      </c>
      <c r="D277" s="1">
        <f t="shared" si="62"/>
        <v>0.74169170670190343</v>
      </c>
      <c r="E277" s="1">
        <f t="shared" si="63"/>
        <v>0.75835829305716396</v>
      </c>
      <c r="F277" s="1">
        <f t="shared" si="64"/>
        <v>0.74190548933752276</v>
      </c>
      <c r="G277" s="1">
        <f t="shared" si="65"/>
        <v>0.75812740447883376</v>
      </c>
      <c r="H277">
        <f t="shared" si="66"/>
        <v>-2.1378263561933064E-4</v>
      </c>
      <c r="I277">
        <f t="shared" si="67"/>
        <v>2.3088857833020171E-4</v>
      </c>
      <c r="J277">
        <f t="shared" si="68"/>
        <v>1</v>
      </c>
      <c r="K277">
        <f t="shared" si="69"/>
        <v>0</v>
      </c>
      <c r="L277">
        <f t="shared" si="70"/>
        <v>1.4959445212146723</v>
      </c>
      <c r="M277">
        <f t="shared" si="71"/>
        <v>1.5040554787853277</v>
      </c>
    </row>
    <row r="278" spans="2:13" x14ac:dyDescent="0.25">
      <c r="B278" s="3">
        <f t="shared" si="60"/>
        <v>0.66566666666666596</v>
      </c>
      <c r="C278" s="3">
        <f t="shared" si="61"/>
        <v>0.66766666666666596</v>
      </c>
      <c r="D278" s="1">
        <f t="shared" si="62"/>
        <v>0.75417291163948308</v>
      </c>
      <c r="E278" s="1">
        <f t="shared" si="63"/>
        <v>0.74583958834545949</v>
      </c>
      <c r="F278" s="1">
        <f t="shared" si="64"/>
        <v>0.75405964820649474</v>
      </c>
      <c r="G278" s="1">
        <f t="shared" si="65"/>
        <v>0.74594857548109972</v>
      </c>
      <c r="H278">
        <f t="shared" si="66"/>
        <v>1.1326343298834196E-4</v>
      </c>
      <c r="I278">
        <f t="shared" si="67"/>
        <v>-1.0898713564022611E-4</v>
      </c>
      <c r="J278">
        <f t="shared" si="68"/>
        <v>0</v>
      </c>
      <c r="K278">
        <f t="shared" si="69"/>
        <v>1</v>
      </c>
      <c r="L278">
        <f t="shared" si="70"/>
        <v>1.5020277681813485</v>
      </c>
      <c r="M278">
        <f t="shared" si="71"/>
        <v>1.497972231818651</v>
      </c>
    </row>
    <row r="279" spans="2:13" x14ac:dyDescent="0.25">
      <c r="B279" s="3">
        <f t="shared" si="60"/>
        <v>0.66866666666666597</v>
      </c>
      <c r="C279" s="3">
        <f t="shared" si="61"/>
        <v>0.66466666666666596</v>
      </c>
      <c r="D279" s="1">
        <f t="shared" si="62"/>
        <v>0.74169170670190343</v>
      </c>
      <c r="E279" s="1">
        <f t="shared" si="63"/>
        <v>0.75835829305716396</v>
      </c>
      <c r="F279" s="1">
        <f t="shared" si="64"/>
        <v>0.74190548933752276</v>
      </c>
      <c r="G279" s="1">
        <f t="shared" si="65"/>
        <v>0.75812740447883376</v>
      </c>
      <c r="H279">
        <f t="shared" si="66"/>
        <v>-2.1378263561933064E-4</v>
      </c>
      <c r="I279">
        <f t="shared" si="67"/>
        <v>2.3088857833020171E-4</v>
      </c>
      <c r="J279">
        <f t="shared" si="68"/>
        <v>1</v>
      </c>
      <c r="K279">
        <f t="shared" si="69"/>
        <v>0</v>
      </c>
      <c r="L279">
        <f t="shared" si="70"/>
        <v>1.4959445212146723</v>
      </c>
      <c r="M279">
        <f t="shared" si="71"/>
        <v>1.5040554787853277</v>
      </c>
    </row>
    <row r="280" spans="2:13" x14ac:dyDescent="0.25">
      <c r="B280" s="3">
        <f t="shared" si="60"/>
        <v>0.66566666666666596</v>
      </c>
      <c r="C280" s="3">
        <f t="shared" si="61"/>
        <v>0.66766666666666596</v>
      </c>
      <c r="D280" s="1">
        <f t="shared" si="62"/>
        <v>0.75417291163948308</v>
      </c>
      <c r="E280" s="1">
        <f t="shared" si="63"/>
        <v>0.74583958834545949</v>
      </c>
      <c r="F280" s="1">
        <f t="shared" si="64"/>
        <v>0.75405964820649474</v>
      </c>
      <c r="G280" s="1">
        <f t="shared" si="65"/>
        <v>0.74594857548109972</v>
      </c>
      <c r="H280">
        <f t="shared" si="66"/>
        <v>1.1326343298834196E-4</v>
      </c>
      <c r="I280">
        <f t="shared" si="67"/>
        <v>-1.0898713564022611E-4</v>
      </c>
      <c r="J280">
        <f t="shared" si="68"/>
        <v>0</v>
      </c>
      <c r="K280">
        <f t="shared" si="69"/>
        <v>1</v>
      </c>
      <c r="L280">
        <f t="shared" si="70"/>
        <v>1.5020277681813485</v>
      </c>
      <c r="M280">
        <f t="shared" si="71"/>
        <v>1.497972231818651</v>
      </c>
    </row>
    <row r="281" spans="2:13" x14ac:dyDescent="0.25">
      <c r="B281" s="3">
        <f t="shared" si="60"/>
        <v>0.66866666666666597</v>
      </c>
      <c r="C281" s="3">
        <f t="shared" si="61"/>
        <v>0.66466666666666596</v>
      </c>
      <c r="D281" s="1">
        <f t="shared" si="62"/>
        <v>0.74169170670190343</v>
      </c>
      <c r="E281" s="1">
        <f t="shared" si="63"/>
        <v>0.75835829305716396</v>
      </c>
      <c r="F281" s="1">
        <f t="shared" si="64"/>
        <v>0.74190548933752276</v>
      </c>
      <c r="G281" s="1">
        <f t="shared" si="65"/>
        <v>0.75812740447883376</v>
      </c>
      <c r="H281">
        <f t="shared" si="66"/>
        <v>-2.1378263561933064E-4</v>
      </c>
      <c r="I281">
        <f t="shared" si="67"/>
        <v>2.3088857833020171E-4</v>
      </c>
      <c r="J281">
        <f t="shared" si="68"/>
        <v>1</v>
      </c>
      <c r="K281">
        <f t="shared" si="69"/>
        <v>0</v>
      </c>
      <c r="L281">
        <f t="shared" si="70"/>
        <v>1.4959445212146723</v>
      </c>
      <c r="M281">
        <f t="shared" si="71"/>
        <v>1.5040554787853277</v>
      </c>
    </row>
    <row r="282" spans="2:13" x14ac:dyDescent="0.25">
      <c r="B282" s="3">
        <f t="shared" si="60"/>
        <v>0.66566666666666596</v>
      </c>
      <c r="C282" s="3">
        <f t="shared" si="61"/>
        <v>0.66766666666666596</v>
      </c>
      <c r="D282" s="1">
        <f t="shared" si="62"/>
        <v>0.75417291163948308</v>
      </c>
      <c r="E282" s="1">
        <f t="shared" si="63"/>
        <v>0.74583958834545949</v>
      </c>
      <c r="F282" s="1">
        <f t="shared" si="64"/>
        <v>0.75405964820649474</v>
      </c>
      <c r="G282" s="1">
        <f t="shared" si="65"/>
        <v>0.74594857548109972</v>
      </c>
      <c r="H282">
        <f t="shared" si="66"/>
        <v>1.1326343298834196E-4</v>
      </c>
      <c r="I282">
        <f t="shared" si="67"/>
        <v>-1.0898713564022611E-4</v>
      </c>
      <c r="J282">
        <f t="shared" si="68"/>
        <v>0</v>
      </c>
      <c r="K282">
        <f t="shared" si="69"/>
        <v>1</v>
      </c>
      <c r="L282">
        <f t="shared" si="70"/>
        <v>1.5020277681813485</v>
      </c>
      <c r="M282">
        <f t="shared" si="71"/>
        <v>1.497972231818651</v>
      </c>
    </row>
    <row r="283" spans="2:13" x14ac:dyDescent="0.25">
      <c r="B283" s="3">
        <f t="shared" si="60"/>
        <v>0.66866666666666597</v>
      </c>
      <c r="C283" s="3">
        <f t="shared" si="61"/>
        <v>0.66466666666666596</v>
      </c>
      <c r="D283" s="1">
        <f t="shared" si="62"/>
        <v>0.74169170670190343</v>
      </c>
      <c r="E283" s="1">
        <f t="shared" si="63"/>
        <v>0.75835829305716396</v>
      </c>
      <c r="F283" s="1">
        <f t="shared" si="64"/>
        <v>0.74190548933752276</v>
      </c>
      <c r="G283" s="1">
        <f t="shared" si="65"/>
        <v>0.75812740447883376</v>
      </c>
      <c r="H283">
        <f t="shared" si="66"/>
        <v>-2.1378263561933064E-4</v>
      </c>
      <c r="I283">
        <f t="shared" si="67"/>
        <v>2.3088857833020171E-4</v>
      </c>
      <c r="J283">
        <f t="shared" si="68"/>
        <v>1</v>
      </c>
      <c r="K283">
        <f t="shared" si="69"/>
        <v>0</v>
      </c>
      <c r="L283">
        <f t="shared" si="70"/>
        <v>1.4959445212146723</v>
      </c>
      <c r="M283">
        <f t="shared" si="71"/>
        <v>1.5040554787853277</v>
      </c>
    </row>
    <row r="284" spans="2:13" x14ac:dyDescent="0.25">
      <c r="B284" s="3">
        <f t="shared" si="60"/>
        <v>0.66566666666666596</v>
      </c>
      <c r="C284" s="3">
        <f t="shared" si="61"/>
        <v>0.66766666666666596</v>
      </c>
      <c r="D284" s="1">
        <f t="shared" si="62"/>
        <v>0.75417291163948308</v>
      </c>
      <c r="E284" s="1">
        <f t="shared" si="63"/>
        <v>0.74583958834545949</v>
      </c>
      <c r="F284" s="1">
        <f t="shared" si="64"/>
        <v>0.75405964820649474</v>
      </c>
      <c r="G284" s="1">
        <f t="shared" si="65"/>
        <v>0.74594857548109972</v>
      </c>
      <c r="H284">
        <f t="shared" si="66"/>
        <v>1.1326343298834196E-4</v>
      </c>
      <c r="I284">
        <f t="shared" si="67"/>
        <v>-1.0898713564022611E-4</v>
      </c>
      <c r="J284">
        <f t="shared" si="68"/>
        <v>0</v>
      </c>
      <c r="K284">
        <f t="shared" si="69"/>
        <v>1</v>
      </c>
      <c r="L284">
        <f t="shared" si="70"/>
        <v>1.5020277681813485</v>
      </c>
      <c r="M284">
        <f t="shared" si="71"/>
        <v>1.497972231818651</v>
      </c>
    </row>
    <row r="285" spans="2:13" x14ac:dyDescent="0.25">
      <c r="B285" s="3">
        <f t="shared" si="60"/>
        <v>0.66866666666666597</v>
      </c>
      <c r="C285" s="3">
        <f t="shared" si="61"/>
        <v>0.66466666666666596</v>
      </c>
      <c r="D285" s="1">
        <f t="shared" si="62"/>
        <v>0.74169170670190343</v>
      </c>
      <c r="E285" s="1">
        <f t="shared" si="63"/>
        <v>0.75835829305716396</v>
      </c>
      <c r="F285" s="1">
        <f t="shared" si="64"/>
        <v>0.74190548933752276</v>
      </c>
      <c r="G285" s="1">
        <f t="shared" si="65"/>
        <v>0.75812740447883376</v>
      </c>
      <c r="H285">
        <f t="shared" si="66"/>
        <v>-2.1378263561933064E-4</v>
      </c>
      <c r="I285">
        <f t="shared" si="67"/>
        <v>2.3088857833020171E-4</v>
      </c>
      <c r="J285">
        <f t="shared" si="68"/>
        <v>1</v>
      </c>
      <c r="K285">
        <f t="shared" si="69"/>
        <v>0</v>
      </c>
      <c r="L285">
        <f t="shared" si="70"/>
        <v>1.4959445212146723</v>
      </c>
      <c r="M285">
        <f t="shared" si="71"/>
        <v>1.5040554787853277</v>
      </c>
    </row>
    <row r="286" spans="2:13" x14ac:dyDescent="0.25">
      <c r="B286" s="3">
        <f t="shared" si="60"/>
        <v>0.66566666666666596</v>
      </c>
      <c r="C286" s="3">
        <f t="shared" si="61"/>
        <v>0.66766666666666596</v>
      </c>
      <c r="D286" s="1">
        <f t="shared" si="62"/>
        <v>0.75417291163948308</v>
      </c>
      <c r="E286" s="1">
        <f t="shared" si="63"/>
        <v>0.74583958834545949</v>
      </c>
      <c r="F286" s="1">
        <f t="shared" si="64"/>
        <v>0.75405964820649474</v>
      </c>
      <c r="G286" s="1">
        <f t="shared" si="65"/>
        <v>0.74594857548109972</v>
      </c>
      <c r="H286">
        <f t="shared" si="66"/>
        <v>1.1326343298834196E-4</v>
      </c>
      <c r="I286">
        <f t="shared" si="67"/>
        <v>-1.0898713564022611E-4</v>
      </c>
      <c r="J286">
        <f t="shared" si="68"/>
        <v>0</v>
      </c>
      <c r="K286">
        <f t="shared" si="69"/>
        <v>1</v>
      </c>
      <c r="L286">
        <f t="shared" si="70"/>
        <v>1.5020277681813485</v>
      </c>
      <c r="M286">
        <f t="shared" si="71"/>
        <v>1.497972231818651</v>
      </c>
    </row>
    <row r="287" spans="2:13" x14ac:dyDescent="0.25">
      <c r="B287" s="3">
        <f t="shared" si="60"/>
        <v>0.66866666666666597</v>
      </c>
      <c r="C287" s="3">
        <f t="shared" si="61"/>
        <v>0.66466666666666596</v>
      </c>
      <c r="D287" s="1">
        <f t="shared" si="62"/>
        <v>0.74169170670190343</v>
      </c>
      <c r="E287" s="1">
        <f t="shared" si="63"/>
        <v>0.75835829305716396</v>
      </c>
      <c r="F287" s="1">
        <f t="shared" si="64"/>
        <v>0.74190548933752276</v>
      </c>
      <c r="G287" s="1">
        <f t="shared" si="65"/>
        <v>0.75812740447883376</v>
      </c>
      <c r="H287">
        <f t="shared" si="66"/>
        <v>-2.1378263561933064E-4</v>
      </c>
      <c r="I287">
        <f t="shared" si="67"/>
        <v>2.3088857833020171E-4</v>
      </c>
      <c r="J287">
        <f t="shared" si="68"/>
        <v>1</v>
      </c>
      <c r="K287">
        <f t="shared" si="69"/>
        <v>0</v>
      </c>
      <c r="L287">
        <f t="shared" si="70"/>
        <v>1.4959445212146723</v>
      </c>
      <c r="M287">
        <f t="shared" si="71"/>
        <v>1.5040554787853277</v>
      </c>
    </row>
    <row r="288" spans="2:13" x14ac:dyDescent="0.25">
      <c r="B288" s="3">
        <f t="shared" si="60"/>
        <v>0.66566666666666596</v>
      </c>
      <c r="C288" s="3">
        <f t="shared" si="61"/>
        <v>0.66766666666666596</v>
      </c>
      <c r="D288" s="1">
        <f t="shared" si="62"/>
        <v>0.75417291163948308</v>
      </c>
      <c r="E288" s="1">
        <f t="shared" si="63"/>
        <v>0.74583958834545949</v>
      </c>
      <c r="F288" s="1">
        <f t="shared" si="64"/>
        <v>0.75405964820649474</v>
      </c>
      <c r="G288" s="1">
        <f t="shared" si="65"/>
        <v>0.74594857548109972</v>
      </c>
      <c r="H288">
        <f t="shared" si="66"/>
        <v>1.1326343298834196E-4</v>
      </c>
      <c r="I288">
        <f t="shared" si="67"/>
        <v>-1.0898713564022611E-4</v>
      </c>
      <c r="J288">
        <f t="shared" si="68"/>
        <v>0</v>
      </c>
      <c r="K288">
        <f t="shared" si="69"/>
        <v>1</v>
      </c>
      <c r="L288">
        <f t="shared" si="70"/>
        <v>1.5020277681813485</v>
      </c>
      <c r="M288">
        <f t="shared" si="71"/>
        <v>1.497972231818651</v>
      </c>
    </row>
    <row r="289" spans="2:13" x14ac:dyDescent="0.25">
      <c r="B289" s="3">
        <f t="shared" si="60"/>
        <v>0.66866666666666597</v>
      </c>
      <c r="C289" s="3">
        <f t="shared" si="61"/>
        <v>0.66466666666666596</v>
      </c>
      <c r="D289" s="1">
        <f t="shared" si="62"/>
        <v>0.74169170670190343</v>
      </c>
      <c r="E289" s="1">
        <f t="shared" si="63"/>
        <v>0.75835829305716396</v>
      </c>
      <c r="F289" s="1">
        <f t="shared" si="64"/>
        <v>0.74190548933752276</v>
      </c>
      <c r="G289" s="1">
        <f t="shared" si="65"/>
        <v>0.75812740447883376</v>
      </c>
      <c r="H289">
        <f t="shared" si="66"/>
        <v>-2.1378263561933064E-4</v>
      </c>
      <c r="I289">
        <f t="shared" si="67"/>
        <v>2.3088857833020171E-4</v>
      </c>
      <c r="J289">
        <f t="shared" si="68"/>
        <v>1</v>
      </c>
      <c r="K289">
        <f t="shared" si="69"/>
        <v>0</v>
      </c>
      <c r="L289">
        <f t="shared" si="70"/>
        <v>1.4959445212146723</v>
      </c>
      <c r="M289">
        <f t="shared" si="71"/>
        <v>1.5040554787853277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Leeds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Olner</dc:creator>
  <cp:lastModifiedBy>Dan Olner</cp:lastModifiedBy>
  <dcterms:created xsi:type="dcterms:W3CDTF">2013-05-16T11:59:50Z</dcterms:created>
  <dcterms:modified xsi:type="dcterms:W3CDTF">2013-06-22T11:13:21Z</dcterms:modified>
</cp:coreProperties>
</file>